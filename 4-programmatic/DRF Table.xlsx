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F Table" sheetId="1" r:id="rId3"/>
    <sheet state="visible" name="Reviewed DRF Table" sheetId="2" r:id="rId4"/>
    <sheet state="visible" name="Sheet2" sheetId="3" r:id="rId5"/>
    <sheet state="visible" name="Sheet3" sheetId="4" r:id="rId6"/>
    <sheet state="visible" name="Sheet4" sheetId="5" r:id="rId7"/>
    <sheet state="visible" name="Skills" sheetId="6" r:id="rId8"/>
    <sheet state="visible" name="DRF - tan" sheetId="7" r:id="rId9"/>
  </sheets>
  <definedNames/>
  <calcPr/>
</workbook>
</file>

<file path=xl/sharedStrings.xml><?xml version="1.0" encoding="utf-8"?>
<sst xmlns="http://schemas.openxmlformats.org/spreadsheetml/2006/main" count="430" uniqueCount="218">
  <si>
    <t>Difficulty</t>
  </si>
  <si>
    <t>%</t>
  </si>
  <si>
    <t>Amazing Success</t>
  </si>
  <si>
    <t>Very Notable Success</t>
  </si>
  <si>
    <t>Notable Success</t>
  </si>
  <si>
    <t>Solid Success</t>
  </si>
  <si>
    <t>Success</t>
  </si>
  <si>
    <t>Failure</t>
  </si>
  <si>
    <t>Solid Failure</t>
  </si>
  <si>
    <t>Notable Failure</t>
  </si>
  <si>
    <t>Very Notable Failure</t>
  </si>
  <si>
    <t>Amazing Failure</t>
  </si>
  <si>
    <t>DF</t>
  </si>
  <si>
    <t>Solid Success SL2</t>
  </si>
  <si>
    <t>Notable Success SL3</t>
  </si>
  <si>
    <t>Very Notable Success SL4</t>
  </si>
  <si>
    <t>Amazing Success SL5</t>
  </si>
  <si>
    <t>Solid Failure FL2</t>
  </si>
  <si>
    <t>Notable Failure FL3</t>
  </si>
  <si>
    <t>Very Notable Failure FL4</t>
  </si>
  <si>
    <t>Amazing Failure FL5</t>
  </si>
  <si>
    <t xml:space="preserve">Individual </t>
  </si>
  <si>
    <t>Family</t>
  </si>
  <si>
    <t>Group</t>
  </si>
  <si>
    <t xml:space="preserve">Community </t>
  </si>
  <si>
    <t>Organization</t>
  </si>
  <si>
    <t xml:space="preserve">Society </t>
  </si>
  <si>
    <t>Home</t>
  </si>
  <si>
    <t>Basics</t>
  </si>
  <si>
    <t>Artifacts</t>
  </si>
  <si>
    <t>Literature</t>
  </si>
  <si>
    <t>Music</t>
  </si>
  <si>
    <t xml:space="preserve">Building/Architectures </t>
  </si>
  <si>
    <t xml:space="preserve">Technology </t>
  </si>
  <si>
    <t>Magic</t>
  </si>
  <si>
    <t>Community</t>
  </si>
  <si>
    <t>Religion</t>
  </si>
  <si>
    <t xml:space="preserve">Government </t>
  </si>
  <si>
    <t>Expected</t>
  </si>
  <si>
    <t>Fit 1</t>
  </si>
  <si>
    <t>A</t>
  </si>
  <si>
    <t>B</t>
  </si>
  <si>
    <t>C</t>
  </si>
  <si>
    <t>D</t>
  </si>
  <si>
    <t>E</t>
  </si>
  <si>
    <t>Name</t>
  </si>
  <si>
    <t>Description</t>
  </si>
  <si>
    <t>Type</t>
  </si>
  <si>
    <t>Stat Basis</t>
  </si>
  <si>
    <t>Cost</t>
  </si>
  <si>
    <t>Accounting</t>
  </si>
  <si>
    <t>The technical study of the tracking of financial transactions</t>
  </si>
  <si>
    <t>TECH</t>
  </si>
  <si>
    <t>FCS</t>
  </si>
  <si>
    <t>Appraisal</t>
  </si>
  <si>
    <t>Evaluation and determination of the worth of 
an item.</t>
  </si>
  <si>
    <t>ENG</t>
  </si>
  <si>
    <t>Bribery</t>
  </si>
  <si>
    <t>CRAFT</t>
  </si>
  <si>
    <t>MCA</t>
  </si>
  <si>
    <t>Business Administration</t>
  </si>
  <si>
    <t>Cartography</t>
  </si>
  <si>
    <t>Clerical Studies</t>
  </si>
  <si>
    <t>Confiscation</t>
  </si>
  <si>
    <t>Culture:(Specific Culture)</t>
  </si>
  <si>
    <t>MDISC</t>
  </si>
  <si>
    <t>MST</t>
  </si>
  <si>
    <t>Cryptography</t>
  </si>
  <si>
    <t>SCI</t>
  </si>
  <si>
    <t>Data Analysis</t>
  </si>
  <si>
    <t>MAG</t>
  </si>
  <si>
    <t>Debate</t>
  </si>
  <si>
    <t>Diplomacy</t>
  </si>
  <si>
    <t>Disguise:(General)</t>
  </si>
  <si>
    <t>MCA+FCS</t>
  </si>
  <si>
    <t>Disguise:(Verbal)</t>
  </si>
  <si>
    <t>Disguise:(Visual)</t>
  </si>
  <si>
    <t>Dry Art</t>
  </si>
  <si>
    <t>ART</t>
  </si>
  <si>
    <t>Elocution</t>
  </si>
  <si>
    <t>Florentine:Mental/Mental</t>
  </si>
  <si>
    <t>MAG+MAW</t>
  </si>
  <si>
    <t>Florentine:Mental/Physical</t>
  </si>
  <si>
    <t>MAG+MAW+PAW</t>
  </si>
  <si>
    <t>Florentine:Physical/Physical</t>
  </si>
  <si>
    <t>PAG+PAW</t>
  </si>
  <si>
    <t>Forgery</t>
  </si>
  <si>
    <t>Gambling</t>
  </si>
  <si>
    <t>Holography</t>
  </si>
  <si>
    <t>Hypnotism</t>
  </si>
  <si>
    <t>Impersonation</t>
  </si>
  <si>
    <t>Infiltration</t>
  </si>
  <si>
    <t>Instrumental Music</t>
  </si>
  <si>
    <t>Interrogation</t>
  </si>
  <si>
    <t>Investigation</t>
  </si>
  <si>
    <t>Journalism</t>
  </si>
  <si>
    <t>Language:(Specify)</t>
  </si>
  <si>
    <t>Law:(Business)</t>
  </si>
  <si>
    <t>Law:(Patent)</t>
  </si>
  <si>
    <t>Law:(Criminal)</t>
  </si>
  <si>
    <t>Logic</t>
  </si>
  <si>
    <t>Lore:(Area of Information)</t>
  </si>
  <si>
    <t>Mime</t>
  </si>
  <si>
    <t>Office Technical Systems</t>
  </si>
  <si>
    <t>Philosophical Anthropology</t>
  </si>
  <si>
    <t>Philosophy</t>
  </si>
  <si>
    <t>Pilot/craft</t>
  </si>
  <si>
    <t>Prevarication</t>
  </si>
  <si>
    <t>Presence:(Mental)</t>
  </si>
  <si>
    <t>MAW</t>
  </si>
  <si>
    <t>Presence:(Physical)</t>
  </si>
  <si>
    <t>PDISC</t>
  </si>
  <si>
    <t>PAW</t>
  </si>
  <si>
    <t>Presence:(General)</t>
  </si>
  <si>
    <t>GAW</t>
  </si>
  <si>
    <t>Pressure Suit Ops</t>
  </si>
  <si>
    <t>Reconnisciance</t>
  </si>
  <si>
    <t>Sculpture</t>
  </si>
  <si>
    <t>MCA+PDX</t>
  </si>
  <si>
    <t>Security Devices</t>
  </si>
  <si>
    <t>Singing</t>
  </si>
  <si>
    <t>Songwriting</t>
  </si>
  <si>
    <t>Stealth:(Aural)</t>
  </si>
  <si>
    <t>Stealth:(General)</t>
  </si>
  <si>
    <t>Stealth:(Olfactory)</t>
  </si>
  <si>
    <t>Stealth:(Tactile)</t>
  </si>
  <si>
    <t>Stealth:(Visual)</t>
  </si>
  <si>
    <t>Survival:(Environment)</t>
  </si>
  <si>
    <t>Tailing</t>
  </si>
  <si>
    <t>Teaching</t>
  </si>
  <si>
    <t>Tech Index:(Appropriate Tech Index)</t>
  </si>
  <si>
    <t>Theatre</t>
  </si>
  <si>
    <t>Theft</t>
  </si>
  <si>
    <t>DEX</t>
  </si>
  <si>
    <t>Theology</t>
  </si>
  <si>
    <t>Tracking</t>
  </si>
  <si>
    <t>Trading</t>
  </si>
  <si>
    <t>Vehicle:(Specify Vehicle)</t>
  </si>
  <si>
    <t>Writing</t>
  </si>
  <si>
    <t>Aeronautics Engineering</t>
  </si>
  <si>
    <t>Applied Linguistics</t>
  </si>
  <si>
    <t>Aquaculture Tech</t>
  </si>
  <si>
    <t>Archeology</t>
  </si>
  <si>
    <t>Astrogation</t>
  </si>
  <si>
    <t>Biomedicine</t>
  </si>
  <si>
    <t>Chemical Engineering</t>
  </si>
  <si>
    <t>Chemical Tech</t>
  </si>
  <si>
    <t>Civil Engineering</t>
  </si>
  <si>
    <t>Civil Tech</t>
  </si>
  <si>
    <t>Clinical Psychology</t>
  </si>
  <si>
    <t>Combat Engineering</t>
  </si>
  <si>
    <t>Combat Operations:(Environment)</t>
  </si>
  <si>
    <t>Communications Operations</t>
  </si>
  <si>
    <t>Computer Engineering</t>
  </si>
  <si>
    <t>Computer Programming</t>
  </si>
  <si>
    <t>FCS+MAG</t>
  </si>
  <si>
    <t>Computer Tech</t>
  </si>
  <si>
    <t>Cyber Interface Helmet Ops</t>
  </si>
  <si>
    <t>Cyber Perception</t>
  </si>
  <si>
    <t>Detect ICE</t>
  </si>
  <si>
    <t>FCS+MAW</t>
  </si>
  <si>
    <t>Demolitions Operations</t>
  </si>
  <si>
    <t>FCS+PDX</t>
  </si>
  <si>
    <t>Program:(Program Name)</t>
  </si>
  <si>
    <t>Program Design</t>
  </si>
  <si>
    <t>MAG+MST</t>
  </si>
  <si>
    <t>Disguise:(Psionic)</t>
  </si>
  <si>
    <t>PSI</t>
  </si>
  <si>
    <t>Stealth:(Psionic)</t>
  </si>
  <si>
    <t>Discipline:(Pick Name)</t>
  </si>
  <si>
    <t>Telekinetics(Filter)</t>
  </si>
  <si>
    <t>Telekinetic Perception</t>
  </si>
  <si>
    <t>Telekinesis</t>
  </si>
  <si>
    <t>Discipline:Levitate</t>
  </si>
  <si>
    <t>Biokinetics(Filter)</t>
  </si>
  <si>
    <t>Biokinetic Perception</t>
  </si>
  <si>
    <t>Biokinesis</t>
  </si>
  <si>
    <t>Gestalt Lore:My Own Body</t>
  </si>
  <si>
    <t>Temporokinetics(Filter)</t>
  </si>
  <si>
    <t>Temporokinetic Perception</t>
  </si>
  <si>
    <t>Temporokinesis</t>
  </si>
  <si>
    <t>Discipline:Teleportation</t>
  </si>
  <si>
    <t>Memorize Location</t>
  </si>
  <si>
    <t>Energetics(Filter)</t>
  </si>
  <si>
    <t>Energetic Perception</t>
  </si>
  <si>
    <t>Energetics (Transform Energy )</t>
  </si>
  <si>
    <t>Knowledge of Energy:Heat or</t>
  </si>
  <si>
    <t>Physics E\&amp;M or</t>
  </si>
  <si>
    <t>Gestalt Lore:IR</t>
  </si>
  <si>
    <t>Telepathics(Filter)</t>
  </si>
  <si>
    <t>Telepathic Perception</t>
  </si>
  <si>
    <t>Telepathy</t>
  </si>
  <si>
    <t>Discipline:Empathy</t>
  </si>
  <si>
    <t>Discipline:Telempathic Projection</t>
  </si>
  <si>
    <t>Discipline:Surface Read</t>
  </si>
  <si>
    <t>Discipline:Telepathic Surface Projection</t>
  </si>
  <si>
    <t>Discipline:Telepathic Read</t>
  </si>
  <si>
    <t>Discipline:Telepathic Projection</t>
  </si>
  <si>
    <t>Discipline:Telepathy</t>
  </si>
  <si>
    <t>Discipline:Mind Meld</t>
  </si>
  <si>
    <t>Mystokinetics(Filter)</t>
  </si>
  <si>
    <t>Mystokinetic Perception</t>
  </si>
  <si>
    <t>Mystokinetics</t>
  </si>
  <si>
    <t>Discipline:Precognition</t>
  </si>
  <si>
    <t>Discipline:Retrocognition</t>
  </si>
  <si>
    <t>Discipline:Object Reading</t>
  </si>
  <si>
    <t>Deception(Psionic)</t>
  </si>
  <si>
    <t>EF</t>
  </si>
  <si>
    <t>Success SL1</t>
  </si>
  <si>
    <t>Solid SL2</t>
  </si>
  <si>
    <t>Notable SL3</t>
  </si>
  <si>
    <t>Wow! SL4</t>
  </si>
  <si>
    <t>Whoa! SL5</t>
  </si>
  <si>
    <t>Solid  FL2</t>
  </si>
  <si>
    <t>Notable FL3</t>
  </si>
  <si>
    <t>Amazing FL4</t>
  </si>
  <si>
    <t>WTF! FL5</t>
  </si>
  <si>
    <t>Effect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</si>
</sst>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sz val="12.0"/>
    </font>
    <font>
      <sz val="12.0"/>
      <color rgb="FFFFFFFF"/>
    </font>
    <font/>
    <font>
      <b/>
    </font>
    <font>
      <b/>
      <sz val="12.0"/>
      <color rgb="FF000000"/>
      <name val="Arial"/>
    </font>
    <font>
      <b/>
      <sz val="12.0"/>
      <name val="Arial"/>
    </font>
    <font>
      <sz val="12.0"/>
      <name val="Arial"/>
    </font>
    <font>
      <b/>
      <sz val="12.0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1" numFmtId="1" xfId="0" applyFont="1" applyNumberFormat="1"/>
    <xf borderId="0" fillId="0" fontId="1" numFmtId="0" xfId="0" applyAlignment="1" applyFont="1">
      <alignment readingOrder="0" shrinkToFit="0" wrapText="1"/>
    </xf>
    <xf borderId="0" fillId="0" fontId="1" numFmtId="1" xfId="0" applyAlignment="1" applyFont="1" applyNumberForma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2" fontId="1" numFmtId="0" xfId="0" applyFont="1"/>
    <xf borderId="0" fillId="3" fontId="1" numFmtId="0" xfId="0" applyFont="1"/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1" xfId="0" applyAlignment="1" applyFont="1" applyNumberFormat="1">
      <alignment readingOrder="0"/>
    </xf>
    <xf borderId="0" fillId="0" fontId="3" numFmtId="1" xfId="0" applyFont="1" applyNumberFormat="1"/>
    <xf borderId="1" fillId="0" fontId="3" numFmtId="0" xfId="0" applyAlignment="1" applyBorder="1" applyFont="1">
      <alignment readingOrder="0"/>
    </xf>
    <xf borderId="0" fillId="2" fontId="3" numFmtId="0" xfId="0" applyFont="1"/>
    <xf borderId="0" fillId="2" fontId="3" numFmtId="1" xfId="0" applyFont="1" applyNumberFormat="1"/>
    <xf borderId="1" fillId="0" fontId="3" numFmtId="0" xfId="0" applyBorder="1" applyFont="1"/>
    <xf borderId="1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0" fillId="5" fontId="1" numFmtId="0" xfId="0" applyAlignment="1" applyFill="1" applyFont="1">
      <alignment readingOrder="0" shrinkToFit="0" wrapText="1"/>
    </xf>
    <xf borderId="0" fillId="5" fontId="8" numFmtId="0" xfId="0" applyAlignment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3" numFmtId="0" xfId="0" applyFill="1" applyFont="1"/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3.13"/>
    <col customWidth="1" min="3" max="3" width="16.38"/>
    <col customWidth="1" min="4" max="4" width="20.0"/>
    <col customWidth="1" min="5" max="5" width="15.5"/>
    <col customWidth="1" min="6" max="6" width="13.13"/>
    <col customWidth="1" min="7" max="7" width="8.25"/>
    <col customWidth="1" min="8" max="8" width="6.88"/>
    <col customWidth="1" min="9" max="9" width="11.75"/>
    <col customWidth="1" min="10" max="10" width="14.13"/>
    <col customWidth="1" min="11" max="11" width="1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-1.0</v>
      </c>
      <c r="B2" s="2">
        <v>1.210200857266</v>
      </c>
      <c r="C2" s="3">
        <f t="shared" ref="C2:C54" si="1">ROUND($B2/100,0)</f>
        <v>0</v>
      </c>
      <c r="D2" s="3">
        <f t="shared" ref="D2:D54" si="2">ROUND($B2/10,0)</f>
        <v>0</v>
      </c>
      <c r="E2" s="3">
        <f t="shared" ref="E2:E54" si="3">ROUND($B2/4,0)</f>
        <v>0</v>
      </c>
      <c r="F2" s="3">
        <f t="shared" ref="F2:F54" si="4">ROUND($B2/2,0)</f>
        <v>1</v>
      </c>
      <c r="G2" s="4">
        <f t="shared" ref="G2:G54" si="5">ROUND($B2,0)</f>
        <v>1</v>
      </c>
      <c r="H2" s="4">
        <f t="shared" ref="H2:H54" si="6">ROUND($B2,0)+1</f>
        <v>2</v>
      </c>
      <c r="I2" s="3">
        <f t="shared" ref="I2:I54" si="7">ROUND(1.5 * $B2,0)</f>
        <v>2</v>
      </c>
      <c r="J2" s="3">
        <f t="shared" ref="J2:J54" si="8">ROUND(2 * $B2,0)</f>
        <v>2</v>
      </c>
      <c r="K2" s="3">
        <f t="shared" ref="K2:K54" si="9">ROUND(2.5 * $B2,0)</f>
        <v>3</v>
      </c>
      <c r="L2" s="3">
        <f t="shared" ref="L2:L54" si="10">ROUND(3 * $B2,0)</f>
        <v>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0.0</v>
      </c>
      <c r="B3" s="2">
        <v>6.0</v>
      </c>
      <c r="C3" s="3">
        <f t="shared" si="1"/>
        <v>0</v>
      </c>
      <c r="D3" s="3">
        <f t="shared" si="2"/>
        <v>1</v>
      </c>
      <c r="E3" s="3">
        <f t="shared" si="3"/>
        <v>2</v>
      </c>
      <c r="F3" s="3">
        <f t="shared" si="4"/>
        <v>3</v>
      </c>
      <c r="G3" s="4">
        <f t="shared" si="5"/>
        <v>6</v>
      </c>
      <c r="H3" s="4">
        <f t="shared" si="6"/>
        <v>7</v>
      </c>
      <c r="I3" s="3">
        <f t="shared" si="7"/>
        <v>9</v>
      </c>
      <c r="J3" s="3">
        <f t="shared" si="8"/>
        <v>12</v>
      </c>
      <c r="K3" s="3">
        <f t="shared" si="9"/>
        <v>15</v>
      </c>
      <c r="L3" s="3">
        <f t="shared" si="10"/>
        <v>18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1.0</v>
      </c>
      <c r="B4" s="2">
        <v>10.78979914273</v>
      </c>
      <c r="C4" s="3">
        <f t="shared" si="1"/>
        <v>0</v>
      </c>
      <c r="D4" s="3">
        <f t="shared" si="2"/>
        <v>1</v>
      </c>
      <c r="E4" s="3">
        <f t="shared" si="3"/>
        <v>3</v>
      </c>
      <c r="F4" s="3">
        <f t="shared" si="4"/>
        <v>5</v>
      </c>
      <c r="G4" s="4">
        <f t="shared" si="5"/>
        <v>11</v>
      </c>
      <c r="H4" s="4">
        <f t="shared" si="6"/>
        <v>12</v>
      </c>
      <c r="I4" s="3">
        <f t="shared" si="7"/>
        <v>16</v>
      </c>
      <c r="J4" s="3">
        <f t="shared" si="8"/>
        <v>22</v>
      </c>
      <c r="K4" s="3">
        <f t="shared" si="9"/>
        <v>27</v>
      </c>
      <c r="L4" s="3">
        <f t="shared" si="10"/>
        <v>32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2.0</v>
      </c>
      <c r="B5" s="2">
        <v>15.51931573118</v>
      </c>
      <c r="C5" s="3">
        <f t="shared" si="1"/>
        <v>0</v>
      </c>
      <c r="D5" s="3">
        <f t="shared" si="2"/>
        <v>2</v>
      </c>
      <c r="E5" s="3">
        <f t="shared" si="3"/>
        <v>4</v>
      </c>
      <c r="F5" s="3">
        <f t="shared" si="4"/>
        <v>8</v>
      </c>
      <c r="G5" s="4">
        <f t="shared" si="5"/>
        <v>16</v>
      </c>
      <c r="H5" s="4">
        <f t="shared" si="6"/>
        <v>17</v>
      </c>
      <c r="I5" s="3">
        <f t="shared" si="7"/>
        <v>23</v>
      </c>
      <c r="J5" s="3">
        <f t="shared" si="8"/>
        <v>31</v>
      </c>
      <c r="K5" s="3">
        <f t="shared" si="9"/>
        <v>39</v>
      </c>
      <c r="L5" s="3">
        <f t="shared" si="10"/>
        <v>47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3.0</v>
      </c>
      <c r="B6" s="2">
        <v>20.13269884325</v>
      </c>
      <c r="C6" s="3">
        <f t="shared" si="1"/>
        <v>0</v>
      </c>
      <c r="D6" s="3">
        <f t="shared" si="2"/>
        <v>2</v>
      </c>
      <c r="E6" s="3">
        <f t="shared" si="3"/>
        <v>5</v>
      </c>
      <c r="F6" s="3">
        <f t="shared" si="4"/>
        <v>10</v>
      </c>
      <c r="G6" s="4">
        <f t="shared" si="5"/>
        <v>20</v>
      </c>
      <c r="H6" s="4">
        <f t="shared" si="6"/>
        <v>21</v>
      </c>
      <c r="I6" s="3">
        <f t="shared" si="7"/>
        <v>30</v>
      </c>
      <c r="J6" s="3">
        <f t="shared" si="8"/>
        <v>40</v>
      </c>
      <c r="K6" s="3">
        <f t="shared" si="9"/>
        <v>50</v>
      </c>
      <c r="L6" s="3">
        <f t="shared" si="10"/>
        <v>60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4.0</v>
      </c>
      <c r="B7" s="2">
        <v>24.58217667255</v>
      </c>
      <c r="C7" s="3">
        <f t="shared" si="1"/>
        <v>0</v>
      </c>
      <c r="D7" s="3">
        <f t="shared" si="2"/>
        <v>2</v>
      </c>
      <c r="E7" s="3">
        <f t="shared" si="3"/>
        <v>6</v>
      </c>
      <c r="F7" s="3">
        <f t="shared" si="4"/>
        <v>12</v>
      </c>
      <c r="G7" s="4">
        <f t="shared" si="5"/>
        <v>25</v>
      </c>
      <c r="H7" s="4">
        <f t="shared" si="6"/>
        <v>26</v>
      </c>
      <c r="I7" s="3">
        <f t="shared" si="7"/>
        <v>37</v>
      </c>
      <c r="J7" s="3">
        <f t="shared" si="8"/>
        <v>49</v>
      </c>
      <c r="K7" s="3">
        <f t="shared" si="9"/>
        <v>61</v>
      </c>
      <c r="L7" s="3">
        <f t="shared" si="10"/>
        <v>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5.0</v>
      </c>
      <c r="B8" s="2">
        <v>28.83038262674</v>
      </c>
      <c r="C8" s="3">
        <f t="shared" si="1"/>
        <v>0</v>
      </c>
      <c r="D8" s="3">
        <f t="shared" si="2"/>
        <v>3</v>
      </c>
      <c r="E8" s="3">
        <f t="shared" si="3"/>
        <v>7</v>
      </c>
      <c r="F8" s="3">
        <f t="shared" si="4"/>
        <v>14</v>
      </c>
      <c r="G8" s="4">
        <f t="shared" si="5"/>
        <v>29</v>
      </c>
      <c r="H8" s="4">
        <f t="shared" si="6"/>
        <v>30</v>
      </c>
      <c r="I8" s="3">
        <f t="shared" si="7"/>
        <v>43</v>
      </c>
      <c r="J8" s="3">
        <f t="shared" si="8"/>
        <v>58</v>
      </c>
      <c r="K8" s="3">
        <f t="shared" si="9"/>
        <v>72</v>
      </c>
      <c r="L8" s="3">
        <f t="shared" si="10"/>
        <v>86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6.0</v>
      </c>
      <c r="B9" s="2">
        <v>32.85119850943</v>
      </c>
      <c r="C9" s="3">
        <f t="shared" si="1"/>
        <v>0</v>
      </c>
      <c r="D9" s="3">
        <f t="shared" si="2"/>
        <v>3</v>
      </c>
      <c r="E9" s="3">
        <f t="shared" si="3"/>
        <v>8</v>
      </c>
      <c r="F9" s="3">
        <f t="shared" si="4"/>
        <v>16</v>
      </c>
      <c r="G9" s="4">
        <f t="shared" si="5"/>
        <v>33</v>
      </c>
      <c r="H9" s="4">
        <f t="shared" si="6"/>
        <v>34</v>
      </c>
      <c r="I9" s="3">
        <f t="shared" si="7"/>
        <v>49</v>
      </c>
      <c r="J9" s="3">
        <f t="shared" si="8"/>
        <v>66</v>
      </c>
      <c r="K9" s="3">
        <f t="shared" si="9"/>
        <v>82</v>
      </c>
      <c r="L9" s="3">
        <f t="shared" si="10"/>
        <v>99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7.0</v>
      </c>
      <c r="B10" s="2">
        <v>36.62929931501</v>
      </c>
      <c r="C10" s="3">
        <f t="shared" si="1"/>
        <v>0</v>
      </c>
      <c r="D10" s="3">
        <f t="shared" si="2"/>
        <v>4</v>
      </c>
      <c r="E10" s="3">
        <f t="shared" si="3"/>
        <v>9</v>
      </c>
      <c r="F10" s="3">
        <f t="shared" si="4"/>
        <v>18</v>
      </c>
      <c r="G10" s="4">
        <f t="shared" si="5"/>
        <v>37</v>
      </c>
      <c r="H10" s="4">
        <f t="shared" si="6"/>
        <v>38</v>
      </c>
      <c r="I10" s="3">
        <f t="shared" si="7"/>
        <v>55</v>
      </c>
      <c r="J10" s="3">
        <f t="shared" si="8"/>
        <v>73</v>
      </c>
      <c r="K10" s="3">
        <f t="shared" si="9"/>
        <v>92</v>
      </c>
      <c r="L10" s="3">
        <f t="shared" si="10"/>
        <v>110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8.0</v>
      </c>
      <c r="B11" s="2">
        <v>40.15879146604</v>
      </c>
      <c r="C11" s="3">
        <f t="shared" si="1"/>
        <v>0</v>
      </c>
      <c r="D11" s="3">
        <f t="shared" si="2"/>
        <v>4</v>
      </c>
      <c r="E11" s="3">
        <f t="shared" si="3"/>
        <v>10</v>
      </c>
      <c r="F11" s="3">
        <f t="shared" si="4"/>
        <v>20</v>
      </c>
      <c r="G11" s="4">
        <f t="shared" si="5"/>
        <v>40</v>
      </c>
      <c r="H11" s="4">
        <f t="shared" si="6"/>
        <v>41</v>
      </c>
      <c r="I11" s="3">
        <f t="shared" si="7"/>
        <v>60</v>
      </c>
      <c r="J11" s="3">
        <f t="shared" si="8"/>
        <v>80</v>
      </c>
      <c r="K11" s="3">
        <f t="shared" si="9"/>
        <v>100</v>
      </c>
      <c r="L11" s="3">
        <f t="shared" si="10"/>
        <v>120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9.0</v>
      </c>
      <c r="B12" s="2">
        <v>43.44138317861</v>
      </c>
      <c r="C12" s="3">
        <f t="shared" si="1"/>
        <v>0</v>
      </c>
      <c r="D12" s="3">
        <f t="shared" si="2"/>
        <v>4</v>
      </c>
      <c r="E12" s="3">
        <f t="shared" si="3"/>
        <v>11</v>
      </c>
      <c r="F12" s="3">
        <f t="shared" si="4"/>
        <v>22</v>
      </c>
      <c r="G12" s="4">
        <f t="shared" si="5"/>
        <v>43</v>
      </c>
      <c r="H12" s="4">
        <f t="shared" si="6"/>
        <v>44</v>
      </c>
      <c r="I12" s="3">
        <f t="shared" si="7"/>
        <v>65</v>
      </c>
      <c r="J12" s="3">
        <f t="shared" si="8"/>
        <v>87</v>
      </c>
      <c r="K12" s="3">
        <f t="shared" si="9"/>
        <v>109</v>
      </c>
      <c r="L12" s="3">
        <f t="shared" si="10"/>
        <v>130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10.0</v>
      </c>
      <c r="B13" s="2">
        <v>46.48445653341</v>
      </c>
      <c r="C13" s="3">
        <f t="shared" si="1"/>
        <v>0</v>
      </c>
      <c r="D13" s="3">
        <f t="shared" si="2"/>
        <v>5</v>
      </c>
      <c r="E13" s="3">
        <f t="shared" si="3"/>
        <v>12</v>
      </c>
      <c r="F13" s="3">
        <f t="shared" si="4"/>
        <v>23</v>
      </c>
      <c r="G13" s="4">
        <f t="shared" si="5"/>
        <v>46</v>
      </c>
      <c r="H13" s="4">
        <f t="shared" si="6"/>
        <v>47</v>
      </c>
      <c r="I13" s="3">
        <f t="shared" si="7"/>
        <v>70</v>
      </c>
      <c r="J13" s="3">
        <f t="shared" si="8"/>
        <v>93</v>
      </c>
      <c r="K13" s="3">
        <f t="shared" si="9"/>
        <v>116</v>
      </c>
      <c r="L13" s="3">
        <f t="shared" si="10"/>
        <v>139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11.0</v>
      </c>
      <c r="B14" s="2">
        <v>49.29929105189</v>
      </c>
      <c r="C14" s="3">
        <f t="shared" si="1"/>
        <v>0</v>
      </c>
      <c r="D14" s="3">
        <f t="shared" si="2"/>
        <v>5</v>
      </c>
      <c r="E14" s="3">
        <f t="shared" si="3"/>
        <v>12</v>
      </c>
      <c r="F14" s="3">
        <f t="shared" si="4"/>
        <v>25</v>
      </c>
      <c r="G14" s="4">
        <f t="shared" si="5"/>
        <v>49</v>
      </c>
      <c r="H14" s="4">
        <f t="shared" si="6"/>
        <v>50</v>
      </c>
      <c r="I14" s="3">
        <f t="shared" si="7"/>
        <v>74</v>
      </c>
      <c r="J14" s="3">
        <f t="shared" si="8"/>
        <v>99</v>
      </c>
      <c r="K14" s="3">
        <f t="shared" si="9"/>
        <v>123</v>
      </c>
      <c r="L14" s="3">
        <f t="shared" si="10"/>
        <v>148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12.0</v>
      </c>
      <c r="B15" s="2">
        <v>51.89956996265</v>
      </c>
      <c r="C15" s="3">
        <f t="shared" si="1"/>
        <v>1</v>
      </c>
      <c r="D15" s="3">
        <f t="shared" si="2"/>
        <v>5</v>
      </c>
      <c r="E15" s="3">
        <f t="shared" si="3"/>
        <v>13</v>
      </c>
      <c r="F15" s="3">
        <f t="shared" si="4"/>
        <v>26</v>
      </c>
      <c r="G15" s="4">
        <f t="shared" si="5"/>
        <v>52</v>
      </c>
      <c r="H15" s="4">
        <f t="shared" si="6"/>
        <v>53</v>
      </c>
      <c r="I15" s="3">
        <f t="shared" si="7"/>
        <v>78</v>
      </c>
      <c r="J15" s="3">
        <f t="shared" si="8"/>
        <v>104</v>
      </c>
      <c r="K15" s="3">
        <f t="shared" si="9"/>
        <v>130</v>
      </c>
      <c r="L15" s="3">
        <f t="shared" si="10"/>
        <v>156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13.0</v>
      </c>
      <c r="B16" s="2">
        <v>54.30020965528</v>
      </c>
      <c r="C16" s="3">
        <f t="shared" si="1"/>
        <v>1</v>
      </c>
      <c r="D16" s="3">
        <f t="shared" si="2"/>
        <v>5</v>
      </c>
      <c r="E16" s="3">
        <f t="shared" si="3"/>
        <v>14</v>
      </c>
      <c r="F16" s="3">
        <f t="shared" si="4"/>
        <v>27</v>
      </c>
      <c r="G16" s="4">
        <f t="shared" si="5"/>
        <v>54</v>
      </c>
      <c r="H16" s="4">
        <f t="shared" si="6"/>
        <v>55</v>
      </c>
      <c r="I16" s="3">
        <f t="shared" si="7"/>
        <v>81</v>
      </c>
      <c r="J16" s="3">
        <f t="shared" si="8"/>
        <v>109</v>
      </c>
      <c r="K16" s="3">
        <f t="shared" si="9"/>
        <v>136</v>
      </c>
      <c r="L16" s="3">
        <f t="shared" si="10"/>
        <v>163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14.0</v>
      </c>
      <c r="B17" s="2">
        <v>56.51649602054</v>
      </c>
      <c r="C17" s="3">
        <f t="shared" si="1"/>
        <v>1</v>
      </c>
      <c r="D17" s="3">
        <f t="shared" si="2"/>
        <v>6</v>
      </c>
      <c r="E17" s="3">
        <f t="shared" si="3"/>
        <v>14</v>
      </c>
      <c r="F17" s="3">
        <f t="shared" si="4"/>
        <v>28</v>
      </c>
      <c r="G17" s="4">
        <f t="shared" si="5"/>
        <v>57</v>
      </c>
      <c r="H17" s="4">
        <f t="shared" si="6"/>
        <v>58</v>
      </c>
      <c r="I17" s="3">
        <f t="shared" si="7"/>
        <v>85</v>
      </c>
      <c r="J17" s="3">
        <f t="shared" si="8"/>
        <v>113</v>
      </c>
      <c r="K17" s="3">
        <f t="shared" si="9"/>
        <v>141</v>
      </c>
      <c r="L17" s="3">
        <f t="shared" si="10"/>
        <v>170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15.0</v>
      </c>
      <c r="B18" s="2">
        <v>58.56348303589</v>
      </c>
      <c r="C18" s="3">
        <f t="shared" si="1"/>
        <v>1</v>
      </c>
      <c r="D18" s="3">
        <f t="shared" si="2"/>
        <v>6</v>
      </c>
      <c r="E18" s="3">
        <f t="shared" si="3"/>
        <v>15</v>
      </c>
      <c r="F18" s="3">
        <f t="shared" si="4"/>
        <v>29</v>
      </c>
      <c r="G18" s="4">
        <f t="shared" si="5"/>
        <v>59</v>
      </c>
      <c r="H18" s="4">
        <f t="shared" si="6"/>
        <v>60</v>
      </c>
      <c r="I18" s="3">
        <f t="shared" si="7"/>
        <v>88</v>
      </c>
      <c r="J18" s="3">
        <f t="shared" si="8"/>
        <v>117</v>
      </c>
      <c r="K18" s="3">
        <f t="shared" si="9"/>
        <v>146</v>
      </c>
      <c r="L18" s="3">
        <f t="shared" si="10"/>
        <v>176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16.0</v>
      </c>
      <c r="B19" s="2">
        <v>60.45560004533</v>
      </c>
      <c r="C19" s="3">
        <f t="shared" si="1"/>
        <v>1</v>
      </c>
      <c r="D19" s="3">
        <f t="shared" si="2"/>
        <v>6</v>
      </c>
      <c r="E19" s="3">
        <f t="shared" si="3"/>
        <v>15</v>
      </c>
      <c r="F19" s="3">
        <f t="shared" si="4"/>
        <v>30</v>
      </c>
      <c r="G19" s="4">
        <f t="shared" si="5"/>
        <v>60</v>
      </c>
      <c r="H19" s="4">
        <f t="shared" si="6"/>
        <v>61</v>
      </c>
      <c r="I19" s="3">
        <f t="shared" si="7"/>
        <v>91</v>
      </c>
      <c r="J19" s="3">
        <f t="shared" si="8"/>
        <v>121</v>
      </c>
      <c r="K19" s="3">
        <f t="shared" si="9"/>
        <v>151</v>
      </c>
      <c r="L19" s="3">
        <f t="shared" si="10"/>
        <v>181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17.0</v>
      </c>
      <c r="B20" s="2">
        <v>62.20641642789</v>
      </c>
      <c r="C20" s="3">
        <f t="shared" si="1"/>
        <v>1</v>
      </c>
      <c r="D20" s="3">
        <f t="shared" si="2"/>
        <v>6</v>
      </c>
      <c r="E20" s="3">
        <f t="shared" si="3"/>
        <v>16</v>
      </c>
      <c r="F20" s="3">
        <f t="shared" si="4"/>
        <v>31</v>
      </c>
      <c r="G20" s="4">
        <f t="shared" si="5"/>
        <v>62</v>
      </c>
      <c r="H20" s="4">
        <f t="shared" si="6"/>
        <v>63</v>
      </c>
      <c r="I20" s="3">
        <f t="shared" si="7"/>
        <v>93</v>
      </c>
      <c r="J20" s="3">
        <f t="shared" si="8"/>
        <v>124</v>
      </c>
      <c r="K20" s="3">
        <f t="shared" si="9"/>
        <v>156</v>
      </c>
      <c r="L20" s="3">
        <f t="shared" si="10"/>
        <v>187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18.0</v>
      </c>
      <c r="B21" s="2">
        <v>63.82851976491</v>
      </c>
      <c r="C21" s="3">
        <f t="shared" si="1"/>
        <v>1</v>
      </c>
      <c r="D21" s="3">
        <f t="shared" si="2"/>
        <v>6</v>
      </c>
      <c r="E21" s="3">
        <f t="shared" si="3"/>
        <v>16</v>
      </c>
      <c r="F21" s="3">
        <f t="shared" si="4"/>
        <v>32</v>
      </c>
      <c r="G21" s="4">
        <f t="shared" si="5"/>
        <v>64</v>
      </c>
      <c r="H21" s="4">
        <f t="shared" si="6"/>
        <v>65</v>
      </c>
      <c r="I21" s="3">
        <f t="shared" si="7"/>
        <v>96</v>
      </c>
      <c r="J21" s="3">
        <f t="shared" si="8"/>
        <v>128</v>
      </c>
      <c r="K21" s="3">
        <f t="shared" si="9"/>
        <v>160</v>
      </c>
      <c r="L21" s="3">
        <f t="shared" si="10"/>
        <v>191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19.0</v>
      </c>
      <c r="B22" s="2">
        <v>65.3334725193</v>
      </c>
      <c r="C22" s="3">
        <f t="shared" si="1"/>
        <v>1</v>
      </c>
      <c r="D22" s="3">
        <f t="shared" si="2"/>
        <v>7</v>
      </c>
      <c r="E22" s="3">
        <f t="shared" si="3"/>
        <v>16</v>
      </c>
      <c r="F22" s="3">
        <f t="shared" si="4"/>
        <v>33</v>
      </c>
      <c r="G22" s="4">
        <f t="shared" si="5"/>
        <v>65</v>
      </c>
      <c r="H22" s="4">
        <f t="shared" si="6"/>
        <v>66</v>
      </c>
      <c r="I22" s="3">
        <f t="shared" si="7"/>
        <v>98</v>
      </c>
      <c r="J22" s="3">
        <f t="shared" si="8"/>
        <v>131</v>
      </c>
      <c r="K22" s="3">
        <f t="shared" si="9"/>
        <v>163</v>
      </c>
      <c r="L22" s="3">
        <f t="shared" si="10"/>
        <v>196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20.0</v>
      </c>
      <c r="B23" s="2">
        <v>66.73182068708</v>
      </c>
      <c r="C23" s="3">
        <f t="shared" si="1"/>
        <v>1</v>
      </c>
      <c r="D23" s="3">
        <f t="shared" si="2"/>
        <v>7</v>
      </c>
      <c r="E23" s="3">
        <f t="shared" si="3"/>
        <v>17</v>
      </c>
      <c r="F23" s="3">
        <f t="shared" si="4"/>
        <v>33</v>
      </c>
      <c r="G23" s="4">
        <f t="shared" si="5"/>
        <v>67</v>
      </c>
      <c r="H23" s="4">
        <f t="shared" si="6"/>
        <v>68</v>
      </c>
      <c r="I23" s="3">
        <f t="shared" si="7"/>
        <v>100</v>
      </c>
      <c r="J23" s="3">
        <f t="shared" si="8"/>
        <v>133</v>
      </c>
      <c r="K23" s="3">
        <f t="shared" si="9"/>
        <v>167</v>
      </c>
      <c r="L23" s="3">
        <f t="shared" si="10"/>
        <v>200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21.0</v>
      </c>
      <c r="B24" s="2">
        <v>68.03313504329</v>
      </c>
      <c r="C24" s="3">
        <f t="shared" si="1"/>
        <v>1</v>
      </c>
      <c r="D24" s="3">
        <f t="shared" si="2"/>
        <v>7</v>
      </c>
      <c r="E24" s="3">
        <f t="shared" si="3"/>
        <v>17</v>
      </c>
      <c r="F24" s="3">
        <f t="shared" si="4"/>
        <v>34</v>
      </c>
      <c r="G24" s="4">
        <f t="shared" si="5"/>
        <v>68</v>
      </c>
      <c r="H24" s="4">
        <f t="shared" si="6"/>
        <v>69</v>
      </c>
      <c r="I24" s="3">
        <f t="shared" si="7"/>
        <v>102</v>
      </c>
      <c r="J24" s="3">
        <f t="shared" si="8"/>
        <v>136</v>
      </c>
      <c r="K24" s="3">
        <f t="shared" si="9"/>
        <v>170</v>
      </c>
      <c r="L24" s="3">
        <f t="shared" si="10"/>
        <v>204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22.0</v>
      </c>
      <c r="B25" s="2">
        <v>69.24607128196</v>
      </c>
      <c r="C25" s="3">
        <f t="shared" si="1"/>
        <v>1</v>
      </c>
      <c r="D25" s="3">
        <f t="shared" si="2"/>
        <v>7</v>
      </c>
      <c r="E25" s="3">
        <f t="shared" si="3"/>
        <v>17</v>
      </c>
      <c r="F25" s="3">
        <f t="shared" si="4"/>
        <v>35</v>
      </c>
      <c r="G25" s="4">
        <f t="shared" si="5"/>
        <v>69</v>
      </c>
      <c r="H25" s="4">
        <f t="shared" si="6"/>
        <v>70</v>
      </c>
      <c r="I25" s="3">
        <f t="shared" si="7"/>
        <v>104</v>
      </c>
      <c r="J25" s="3">
        <f t="shared" si="8"/>
        <v>138</v>
      </c>
      <c r="K25" s="3">
        <f t="shared" si="9"/>
        <v>173</v>
      </c>
      <c r="L25" s="3">
        <f t="shared" si="10"/>
        <v>208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23.0</v>
      </c>
      <c r="B26" s="2">
        <v>70.37843965067</v>
      </c>
      <c r="C26" s="3">
        <f t="shared" si="1"/>
        <v>1</v>
      </c>
      <c r="D26" s="3">
        <f t="shared" si="2"/>
        <v>7</v>
      </c>
      <c r="E26" s="3">
        <f t="shared" si="3"/>
        <v>18</v>
      </c>
      <c r="F26" s="3">
        <f t="shared" si="4"/>
        <v>35</v>
      </c>
      <c r="G26" s="4">
        <f t="shared" si="5"/>
        <v>70</v>
      </c>
      <c r="H26" s="4">
        <f t="shared" si="6"/>
        <v>71</v>
      </c>
      <c r="I26" s="3">
        <f t="shared" si="7"/>
        <v>106</v>
      </c>
      <c r="J26" s="3">
        <f t="shared" si="8"/>
        <v>141</v>
      </c>
      <c r="K26" s="3">
        <f t="shared" si="9"/>
        <v>176</v>
      </c>
      <c r="L26" s="3">
        <f t="shared" si="10"/>
        <v>211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24.0</v>
      </c>
      <c r="B27" s="2">
        <v>71.43727783148</v>
      </c>
      <c r="C27" s="3">
        <f t="shared" si="1"/>
        <v>1</v>
      </c>
      <c r="D27" s="3">
        <f t="shared" si="2"/>
        <v>7</v>
      </c>
      <c r="E27" s="3">
        <f t="shared" si="3"/>
        <v>18</v>
      </c>
      <c r="F27" s="3">
        <f t="shared" si="4"/>
        <v>36</v>
      </c>
      <c r="G27" s="4">
        <f t="shared" si="5"/>
        <v>71</v>
      </c>
      <c r="H27" s="4">
        <f t="shared" si="6"/>
        <v>72</v>
      </c>
      <c r="I27" s="3">
        <f t="shared" si="7"/>
        <v>107</v>
      </c>
      <c r="J27" s="3">
        <f t="shared" si="8"/>
        <v>143</v>
      </c>
      <c r="K27" s="3">
        <f t="shared" si="9"/>
        <v>179</v>
      </c>
      <c r="L27" s="3">
        <f t="shared" si="10"/>
        <v>214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25.0</v>
      </c>
      <c r="B28" s="2">
        <v>72.42892306765</v>
      </c>
      <c r="C28" s="3">
        <f t="shared" si="1"/>
        <v>1</v>
      </c>
      <c r="D28" s="3">
        <f t="shared" si="2"/>
        <v>7</v>
      </c>
      <c r="E28" s="3">
        <f t="shared" si="3"/>
        <v>18</v>
      </c>
      <c r="F28" s="3">
        <f t="shared" si="4"/>
        <v>36</v>
      </c>
      <c r="G28" s="4">
        <f t="shared" si="5"/>
        <v>72</v>
      </c>
      <c r="H28" s="4">
        <f t="shared" si="6"/>
        <v>73</v>
      </c>
      <c r="I28" s="3">
        <f t="shared" si="7"/>
        <v>109</v>
      </c>
      <c r="J28" s="3">
        <f t="shared" si="8"/>
        <v>145</v>
      </c>
      <c r="K28" s="3">
        <f t="shared" si="9"/>
        <v>181</v>
      </c>
      <c r="L28" s="3">
        <f t="shared" si="10"/>
        <v>217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26.0</v>
      </c>
      <c r="B29" s="2">
        <v>73.35908110315</v>
      </c>
      <c r="C29" s="3">
        <f t="shared" si="1"/>
        <v>1</v>
      </c>
      <c r="D29" s="3">
        <f t="shared" si="2"/>
        <v>7</v>
      </c>
      <c r="E29" s="3">
        <f t="shared" si="3"/>
        <v>18</v>
      </c>
      <c r="F29" s="3">
        <f t="shared" si="4"/>
        <v>37</v>
      </c>
      <c r="G29" s="4">
        <f t="shared" si="5"/>
        <v>73</v>
      </c>
      <c r="H29" s="4">
        <f t="shared" si="6"/>
        <v>74</v>
      </c>
      <c r="I29" s="3">
        <f t="shared" si="7"/>
        <v>110</v>
      </c>
      <c r="J29" s="3">
        <f t="shared" si="8"/>
        <v>147</v>
      </c>
      <c r="K29" s="3">
        <f t="shared" si="9"/>
        <v>183</v>
      </c>
      <c r="L29" s="3">
        <f t="shared" si="10"/>
        <v>220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27.0</v>
      </c>
      <c r="B30" s="2">
        <v>74.23289057059</v>
      </c>
      <c r="C30" s="3">
        <f t="shared" si="1"/>
        <v>1</v>
      </c>
      <c r="D30" s="3">
        <f t="shared" si="2"/>
        <v>7</v>
      </c>
      <c r="E30" s="3">
        <f t="shared" si="3"/>
        <v>19</v>
      </c>
      <c r="F30" s="3">
        <f t="shared" si="4"/>
        <v>37</v>
      </c>
      <c r="G30" s="4">
        <f t="shared" si="5"/>
        <v>74</v>
      </c>
      <c r="H30" s="4">
        <f t="shared" si="6"/>
        <v>75</v>
      </c>
      <c r="I30" s="3">
        <f t="shared" si="7"/>
        <v>111</v>
      </c>
      <c r="J30" s="3">
        <f t="shared" si="8"/>
        <v>148</v>
      </c>
      <c r="K30" s="3">
        <f t="shared" si="9"/>
        <v>186</v>
      </c>
      <c r="L30" s="3">
        <f t="shared" si="10"/>
        <v>223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>
        <v>28.0</v>
      </c>
      <c r="B31" s="2">
        <v>75.05498217536</v>
      </c>
      <c r="C31" s="3">
        <f t="shared" si="1"/>
        <v>1</v>
      </c>
      <c r="D31" s="3">
        <f t="shared" si="2"/>
        <v>8</v>
      </c>
      <c r="E31" s="3">
        <f t="shared" si="3"/>
        <v>19</v>
      </c>
      <c r="F31" s="3">
        <f t="shared" si="4"/>
        <v>38</v>
      </c>
      <c r="G31" s="4">
        <f t="shared" si="5"/>
        <v>75</v>
      </c>
      <c r="H31" s="4">
        <f t="shared" si="6"/>
        <v>76</v>
      </c>
      <c r="I31" s="3">
        <f t="shared" si="7"/>
        <v>113</v>
      </c>
      <c r="J31" s="3">
        <f t="shared" si="8"/>
        <v>150</v>
      </c>
      <c r="K31" s="3">
        <f t="shared" si="9"/>
        <v>188</v>
      </c>
      <c r="L31" s="3">
        <f t="shared" si="10"/>
        <v>225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29.0</v>
      </c>
      <c r="B32" s="2">
        <v>75.82953248557</v>
      </c>
      <c r="C32" s="3">
        <f t="shared" si="1"/>
        <v>1</v>
      </c>
      <c r="D32" s="3">
        <f t="shared" si="2"/>
        <v>8</v>
      </c>
      <c r="E32" s="3">
        <f t="shared" si="3"/>
        <v>19</v>
      </c>
      <c r="F32" s="3">
        <f t="shared" si="4"/>
        <v>38</v>
      </c>
      <c r="G32" s="4">
        <f t="shared" si="5"/>
        <v>76</v>
      </c>
      <c r="H32" s="4">
        <f t="shared" si="6"/>
        <v>77</v>
      </c>
      <c r="I32" s="3">
        <f t="shared" si="7"/>
        <v>114</v>
      </c>
      <c r="J32" s="3">
        <f t="shared" si="8"/>
        <v>152</v>
      </c>
      <c r="K32" s="3">
        <f t="shared" si="9"/>
        <v>190</v>
      </c>
      <c r="L32" s="3">
        <f t="shared" si="10"/>
        <v>227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30.0</v>
      </c>
      <c r="B33" s="2">
        <v>76.56031242571</v>
      </c>
      <c r="C33" s="3">
        <f t="shared" si="1"/>
        <v>1</v>
      </c>
      <c r="D33" s="3">
        <f t="shared" si="2"/>
        <v>8</v>
      </c>
      <c r="E33" s="3">
        <f t="shared" si="3"/>
        <v>19</v>
      </c>
      <c r="F33" s="3">
        <f t="shared" si="4"/>
        <v>38</v>
      </c>
      <c r="G33" s="4">
        <f t="shared" si="5"/>
        <v>77</v>
      </c>
      <c r="H33" s="4">
        <f t="shared" si="6"/>
        <v>78</v>
      </c>
      <c r="I33" s="3">
        <f t="shared" si="7"/>
        <v>115</v>
      </c>
      <c r="J33" s="3">
        <f t="shared" si="8"/>
        <v>153</v>
      </c>
      <c r="K33" s="3">
        <f t="shared" si="9"/>
        <v>191</v>
      </c>
      <c r="L33" s="3">
        <f t="shared" si="10"/>
        <v>230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32.0</v>
      </c>
      <c r="B34" s="2">
        <v>77.90387280709</v>
      </c>
      <c r="C34" s="3">
        <f t="shared" si="1"/>
        <v>1</v>
      </c>
      <c r="D34" s="3">
        <f t="shared" si="2"/>
        <v>8</v>
      </c>
      <c r="E34" s="3">
        <f t="shared" si="3"/>
        <v>19</v>
      </c>
      <c r="F34" s="3">
        <f t="shared" si="4"/>
        <v>39</v>
      </c>
      <c r="G34" s="4">
        <f t="shared" si="5"/>
        <v>78</v>
      </c>
      <c r="H34" s="4">
        <f t="shared" si="6"/>
        <v>79</v>
      </c>
      <c r="I34" s="3">
        <f t="shared" si="7"/>
        <v>117</v>
      </c>
      <c r="J34" s="3">
        <f t="shared" si="8"/>
        <v>156</v>
      </c>
      <c r="K34" s="3">
        <f t="shared" si="9"/>
        <v>195</v>
      </c>
      <c r="L34" s="3">
        <f t="shared" si="10"/>
        <v>234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33.0</v>
      </c>
      <c r="B35" s="2">
        <v>78.52253514607</v>
      </c>
      <c r="C35" s="3">
        <f t="shared" si="1"/>
        <v>1</v>
      </c>
      <c r="D35" s="3">
        <f t="shared" si="2"/>
        <v>8</v>
      </c>
      <c r="E35" s="3">
        <f t="shared" si="3"/>
        <v>20</v>
      </c>
      <c r="F35" s="3">
        <f t="shared" si="4"/>
        <v>39</v>
      </c>
      <c r="G35" s="4">
        <f t="shared" si="5"/>
        <v>79</v>
      </c>
      <c r="H35" s="4">
        <f t="shared" si="6"/>
        <v>80</v>
      </c>
      <c r="I35" s="3">
        <f t="shared" si="7"/>
        <v>118</v>
      </c>
      <c r="J35" s="3">
        <f t="shared" si="8"/>
        <v>157</v>
      </c>
      <c r="K35" s="3">
        <f t="shared" si="9"/>
        <v>196</v>
      </c>
      <c r="L35" s="3">
        <f t="shared" si="10"/>
        <v>236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>
        <v>35.0</v>
      </c>
      <c r="B36" s="2">
        <v>79.66634318245</v>
      </c>
      <c r="C36" s="3">
        <f t="shared" si="1"/>
        <v>1</v>
      </c>
      <c r="D36" s="3">
        <f t="shared" si="2"/>
        <v>8</v>
      </c>
      <c r="E36" s="3">
        <f t="shared" si="3"/>
        <v>20</v>
      </c>
      <c r="F36" s="3">
        <f t="shared" si="4"/>
        <v>40</v>
      </c>
      <c r="G36" s="4">
        <f t="shared" si="5"/>
        <v>80</v>
      </c>
      <c r="H36" s="4">
        <f t="shared" si="6"/>
        <v>81</v>
      </c>
      <c r="I36" s="3">
        <f t="shared" si="7"/>
        <v>119</v>
      </c>
      <c r="J36" s="3">
        <f t="shared" si="8"/>
        <v>159</v>
      </c>
      <c r="K36" s="3">
        <f t="shared" si="9"/>
        <v>199</v>
      </c>
      <c r="L36" s="3">
        <f t="shared" si="10"/>
        <v>239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37.0</v>
      </c>
      <c r="B37" s="2">
        <v>80.69983269133</v>
      </c>
      <c r="C37" s="3">
        <f t="shared" si="1"/>
        <v>1</v>
      </c>
      <c r="D37" s="3">
        <f t="shared" si="2"/>
        <v>8</v>
      </c>
      <c r="E37" s="3">
        <f t="shared" si="3"/>
        <v>20</v>
      </c>
      <c r="F37" s="3">
        <f t="shared" si="4"/>
        <v>40</v>
      </c>
      <c r="G37" s="4">
        <f t="shared" si="5"/>
        <v>81</v>
      </c>
      <c r="H37" s="4">
        <f t="shared" si="6"/>
        <v>82</v>
      </c>
      <c r="I37" s="3">
        <f t="shared" si="7"/>
        <v>121</v>
      </c>
      <c r="J37" s="3">
        <f t="shared" si="8"/>
        <v>161</v>
      </c>
      <c r="K37" s="3">
        <f t="shared" si="9"/>
        <v>202</v>
      </c>
      <c r="L37" s="3">
        <f t="shared" si="10"/>
        <v>242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>
        <v>39.0</v>
      </c>
      <c r="B38" s="2">
        <v>81.63769596041</v>
      </c>
      <c r="C38" s="3">
        <f t="shared" si="1"/>
        <v>1</v>
      </c>
      <c r="D38" s="3">
        <f t="shared" si="2"/>
        <v>8</v>
      </c>
      <c r="E38" s="3">
        <f t="shared" si="3"/>
        <v>20</v>
      </c>
      <c r="F38" s="3">
        <f t="shared" si="4"/>
        <v>41</v>
      </c>
      <c r="G38" s="4">
        <f t="shared" si="5"/>
        <v>82</v>
      </c>
      <c r="H38" s="4">
        <f t="shared" si="6"/>
        <v>83</v>
      </c>
      <c r="I38" s="3">
        <f t="shared" si="7"/>
        <v>122</v>
      </c>
      <c r="J38" s="3">
        <f t="shared" si="8"/>
        <v>163</v>
      </c>
      <c r="K38" s="3">
        <f t="shared" si="9"/>
        <v>204</v>
      </c>
      <c r="L38" s="3">
        <f t="shared" si="10"/>
        <v>245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>
        <v>42.0</v>
      </c>
      <c r="B39" s="2">
        <v>82.89151927115</v>
      </c>
      <c r="C39" s="3">
        <f t="shared" si="1"/>
        <v>1</v>
      </c>
      <c r="D39" s="3">
        <f t="shared" si="2"/>
        <v>8</v>
      </c>
      <c r="E39" s="3">
        <f t="shared" si="3"/>
        <v>21</v>
      </c>
      <c r="F39" s="3">
        <f t="shared" si="4"/>
        <v>41</v>
      </c>
      <c r="G39" s="4">
        <f t="shared" si="5"/>
        <v>83</v>
      </c>
      <c r="H39" s="4">
        <f t="shared" si="6"/>
        <v>84</v>
      </c>
      <c r="I39" s="3">
        <f t="shared" si="7"/>
        <v>124</v>
      </c>
      <c r="J39" s="3">
        <f t="shared" si="8"/>
        <v>166</v>
      </c>
      <c r="K39" s="3">
        <f t="shared" si="9"/>
        <v>207</v>
      </c>
      <c r="L39" s="3">
        <f t="shared" si="10"/>
        <v>249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>
        <v>44.0</v>
      </c>
      <c r="B40" s="2">
        <v>83.63989008977</v>
      </c>
      <c r="C40" s="3">
        <f t="shared" si="1"/>
        <v>1</v>
      </c>
      <c r="D40" s="3">
        <f t="shared" si="2"/>
        <v>8</v>
      </c>
      <c r="E40" s="3">
        <f t="shared" si="3"/>
        <v>21</v>
      </c>
      <c r="F40" s="3">
        <f t="shared" si="4"/>
        <v>42</v>
      </c>
      <c r="G40" s="4">
        <f t="shared" si="5"/>
        <v>84</v>
      </c>
      <c r="H40" s="4">
        <f t="shared" si="6"/>
        <v>85</v>
      </c>
      <c r="I40" s="3">
        <f t="shared" si="7"/>
        <v>125</v>
      </c>
      <c r="J40" s="3">
        <f t="shared" si="8"/>
        <v>167</v>
      </c>
      <c r="K40" s="3">
        <f t="shared" si="9"/>
        <v>209</v>
      </c>
      <c r="L40" s="3">
        <f t="shared" si="10"/>
        <v>251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>
        <v>47.0</v>
      </c>
      <c r="B41" s="2">
        <v>84.65137119638</v>
      </c>
      <c r="C41" s="3">
        <f t="shared" si="1"/>
        <v>1</v>
      </c>
      <c r="D41" s="3">
        <f t="shared" si="2"/>
        <v>8</v>
      </c>
      <c r="E41" s="3">
        <f t="shared" si="3"/>
        <v>21</v>
      </c>
      <c r="F41" s="3">
        <f t="shared" si="4"/>
        <v>42</v>
      </c>
      <c r="G41" s="4">
        <f t="shared" si="5"/>
        <v>85</v>
      </c>
      <c r="H41" s="4">
        <f t="shared" si="6"/>
        <v>86</v>
      </c>
      <c r="I41" s="3">
        <f t="shared" si="7"/>
        <v>127</v>
      </c>
      <c r="J41" s="3">
        <f t="shared" si="8"/>
        <v>169</v>
      </c>
      <c r="K41" s="3">
        <f t="shared" si="9"/>
        <v>212</v>
      </c>
      <c r="L41" s="3">
        <f t="shared" si="10"/>
        <v>254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>
        <v>50.0</v>
      </c>
      <c r="B42" s="2">
        <v>85.54905982008</v>
      </c>
      <c r="C42" s="3">
        <f t="shared" si="1"/>
        <v>1</v>
      </c>
      <c r="D42" s="3">
        <f t="shared" si="2"/>
        <v>9</v>
      </c>
      <c r="E42" s="3">
        <f t="shared" si="3"/>
        <v>21</v>
      </c>
      <c r="F42" s="3">
        <f t="shared" si="4"/>
        <v>43</v>
      </c>
      <c r="G42" s="4">
        <f t="shared" si="5"/>
        <v>86</v>
      </c>
      <c r="H42" s="4">
        <f t="shared" si="6"/>
        <v>87</v>
      </c>
      <c r="I42" s="3">
        <f t="shared" si="7"/>
        <v>128</v>
      </c>
      <c r="J42" s="3">
        <f t="shared" si="8"/>
        <v>171</v>
      </c>
      <c r="K42" s="3">
        <f t="shared" si="9"/>
        <v>214</v>
      </c>
      <c r="L42" s="3">
        <f t="shared" si="10"/>
        <v>257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>
        <v>54.0</v>
      </c>
      <c r="B43" s="2">
        <v>86.59928077932</v>
      </c>
      <c r="C43" s="3">
        <f t="shared" si="1"/>
        <v>1</v>
      </c>
      <c r="D43" s="3">
        <f t="shared" si="2"/>
        <v>9</v>
      </c>
      <c r="E43" s="3">
        <f t="shared" si="3"/>
        <v>22</v>
      </c>
      <c r="F43" s="3">
        <f t="shared" si="4"/>
        <v>43</v>
      </c>
      <c r="G43" s="4">
        <f t="shared" si="5"/>
        <v>87</v>
      </c>
      <c r="H43" s="4">
        <f t="shared" si="6"/>
        <v>88</v>
      </c>
      <c r="I43" s="3">
        <f t="shared" si="7"/>
        <v>130</v>
      </c>
      <c r="J43" s="3">
        <f t="shared" si="8"/>
        <v>173</v>
      </c>
      <c r="K43" s="3">
        <f t="shared" si="9"/>
        <v>216</v>
      </c>
      <c r="L43" s="3">
        <f t="shared" si="10"/>
        <v>260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>
        <v>58.0</v>
      </c>
      <c r="B44" s="2">
        <v>87.51154986473</v>
      </c>
      <c r="C44" s="3">
        <f t="shared" si="1"/>
        <v>1</v>
      </c>
      <c r="D44" s="3">
        <f t="shared" si="2"/>
        <v>9</v>
      </c>
      <c r="E44" s="3">
        <f t="shared" si="3"/>
        <v>22</v>
      </c>
      <c r="F44" s="3">
        <f t="shared" si="4"/>
        <v>44</v>
      </c>
      <c r="G44" s="4">
        <f t="shared" si="5"/>
        <v>88</v>
      </c>
      <c r="H44" s="4">
        <f t="shared" si="6"/>
        <v>89</v>
      </c>
      <c r="I44" s="3">
        <f t="shared" si="7"/>
        <v>131</v>
      </c>
      <c r="J44" s="3">
        <f t="shared" si="8"/>
        <v>175</v>
      </c>
      <c r="K44" s="3">
        <f t="shared" si="9"/>
        <v>219</v>
      </c>
      <c r="L44" s="3">
        <f t="shared" si="10"/>
        <v>263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>
        <v>64.0</v>
      </c>
      <c r="B45" s="2">
        <v>88.67472087222</v>
      </c>
      <c r="C45" s="3">
        <f t="shared" si="1"/>
        <v>1</v>
      </c>
      <c r="D45" s="3">
        <f t="shared" si="2"/>
        <v>9</v>
      </c>
      <c r="E45" s="3">
        <f t="shared" si="3"/>
        <v>22</v>
      </c>
      <c r="F45" s="3">
        <f t="shared" si="4"/>
        <v>44</v>
      </c>
      <c r="G45" s="4">
        <f t="shared" si="5"/>
        <v>89</v>
      </c>
      <c r="H45" s="4">
        <f t="shared" si="6"/>
        <v>90</v>
      </c>
      <c r="I45" s="3">
        <f t="shared" si="7"/>
        <v>133</v>
      </c>
      <c r="J45" s="3">
        <f t="shared" si="8"/>
        <v>177</v>
      </c>
      <c r="K45" s="3">
        <f t="shared" si="9"/>
        <v>222</v>
      </c>
      <c r="L45" s="3">
        <f t="shared" si="10"/>
        <v>266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>
        <v>70.0</v>
      </c>
      <c r="B46" s="2">
        <v>89.64524824349</v>
      </c>
      <c r="C46" s="3">
        <f t="shared" si="1"/>
        <v>1</v>
      </c>
      <c r="D46" s="3">
        <f t="shared" si="2"/>
        <v>9</v>
      </c>
      <c r="E46" s="3">
        <f t="shared" si="3"/>
        <v>22</v>
      </c>
      <c r="F46" s="3">
        <f t="shared" si="4"/>
        <v>45</v>
      </c>
      <c r="G46" s="4">
        <f t="shared" si="5"/>
        <v>90</v>
      </c>
      <c r="H46" s="4">
        <f t="shared" si="6"/>
        <v>91</v>
      </c>
      <c r="I46" s="3">
        <f t="shared" si="7"/>
        <v>134</v>
      </c>
      <c r="J46" s="3">
        <f t="shared" si="8"/>
        <v>179</v>
      </c>
      <c r="K46" s="3">
        <f t="shared" si="9"/>
        <v>224</v>
      </c>
      <c r="L46" s="3">
        <f t="shared" si="10"/>
        <v>269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>
        <v>77.0</v>
      </c>
      <c r="B47" s="2">
        <v>90.59175525232</v>
      </c>
      <c r="C47" s="3">
        <f t="shared" si="1"/>
        <v>1</v>
      </c>
      <c r="D47" s="3">
        <f t="shared" si="2"/>
        <v>9</v>
      </c>
      <c r="E47" s="3">
        <f t="shared" si="3"/>
        <v>23</v>
      </c>
      <c r="F47" s="3">
        <f t="shared" si="4"/>
        <v>45</v>
      </c>
      <c r="G47" s="4">
        <f t="shared" si="5"/>
        <v>91</v>
      </c>
      <c r="H47" s="4">
        <f t="shared" si="6"/>
        <v>92</v>
      </c>
      <c r="I47" s="3">
        <f t="shared" si="7"/>
        <v>136</v>
      </c>
      <c r="J47" s="3">
        <f t="shared" si="8"/>
        <v>181</v>
      </c>
      <c r="K47" s="3">
        <f t="shared" si="9"/>
        <v>226</v>
      </c>
      <c r="L47" s="3">
        <f t="shared" si="10"/>
        <v>272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>
        <v>86.0</v>
      </c>
      <c r="B48" s="2">
        <v>91.58749608532</v>
      </c>
      <c r="C48" s="3">
        <f t="shared" si="1"/>
        <v>1</v>
      </c>
      <c r="D48" s="3">
        <f t="shared" si="2"/>
        <v>9</v>
      </c>
      <c r="E48" s="3">
        <f t="shared" si="3"/>
        <v>23</v>
      </c>
      <c r="F48" s="3">
        <f t="shared" si="4"/>
        <v>46</v>
      </c>
      <c r="G48" s="4">
        <f t="shared" si="5"/>
        <v>92</v>
      </c>
      <c r="H48" s="4">
        <f t="shared" si="6"/>
        <v>93</v>
      </c>
      <c r="I48" s="3">
        <f t="shared" si="7"/>
        <v>137</v>
      </c>
      <c r="J48" s="3">
        <f t="shared" si="8"/>
        <v>183</v>
      </c>
      <c r="K48" s="3">
        <f t="shared" si="9"/>
        <v>229</v>
      </c>
      <c r="L48" s="3">
        <f t="shared" si="10"/>
        <v>275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>
        <v>97.0</v>
      </c>
      <c r="B49" s="2">
        <v>92.55819948915</v>
      </c>
      <c r="C49" s="3">
        <f t="shared" si="1"/>
        <v>1</v>
      </c>
      <c r="D49" s="3">
        <f t="shared" si="2"/>
        <v>9</v>
      </c>
      <c r="E49" s="3">
        <f t="shared" si="3"/>
        <v>23</v>
      </c>
      <c r="F49" s="3">
        <f t="shared" si="4"/>
        <v>46</v>
      </c>
      <c r="G49" s="4">
        <f t="shared" si="5"/>
        <v>93</v>
      </c>
      <c r="H49" s="4">
        <f t="shared" si="6"/>
        <v>94</v>
      </c>
      <c r="I49" s="3">
        <f t="shared" si="7"/>
        <v>139</v>
      </c>
      <c r="J49" s="3">
        <f t="shared" si="8"/>
        <v>185</v>
      </c>
      <c r="K49" s="3">
        <f t="shared" si="9"/>
        <v>231</v>
      </c>
      <c r="L49" s="3">
        <f t="shared" si="10"/>
        <v>278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>
        <v>111.0</v>
      </c>
      <c r="B50" s="2">
        <v>93.51936963531</v>
      </c>
      <c r="C50" s="3">
        <f t="shared" si="1"/>
        <v>1</v>
      </c>
      <c r="D50" s="3">
        <f t="shared" si="2"/>
        <v>9</v>
      </c>
      <c r="E50" s="3">
        <f t="shared" si="3"/>
        <v>23</v>
      </c>
      <c r="F50" s="3">
        <f t="shared" si="4"/>
        <v>47</v>
      </c>
      <c r="G50" s="4">
        <f t="shared" si="5"/>
        <v>94</v>
      </c>
      <c r="H50" s="4">
        <f t="shared" si="6"/>
        <v>95</v>
      </c>
      <c r="I50" s="3">
        <f t="shared" si="7"/>
        <v>140</v>
      </c>
      <c r="J50" s="3">
        <f t="shared" si="8"/>
        <v>187</v>
      </c>
      <c r="K50" s="3">
        <f t="shared" si="9"/>
        <v>234</v>
      </c>
      <c r="L50" s="3">
        <f t="shared" si="10"/>
        <v>281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>
        <v>131.0</v>
      </c>
      <c r="B51" s="2">
        <v>94.53987031082</v>
      </c>
      <c r="C51" s="3">
        <f t="shared" si="1"/>
        <v>1</v>
      </c>
      <c r="D51" s="3">
        <f t="shared" si="2"/>
        <v>9</v>
      </c>
      <c r="E51" s="3">
        <f t="shared" si="3"/>
        <v>24</v>
      </c>
      <c r="F51" s="3">
        <f t="shared" si="4"/>
        <v>47</v>
      </c>
      <c r="G51" s="4">
        <f t="shared" si="5"/>
        <v>95</v>
      </c>
      <c r="H51" s="4">
        <f t="shared" si="6"/>
        <v>96</v>
      </c>
      <c r="I51" s="3">
        <f t="shared" si="7"/>
        <v>142</v>
      </c>
      <c r="J51" s="3">
        <f t="shared" si="8"/>
        <v>189</v>
      </c>
      <c r="K51" s="3">
        <f t="shared" si="9"/>
        <v>236</v>
      </c>
      <c r="L51" s="3">
        <f t="shared" si="10"/>
        <v>284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>
        <v>158.0</v>
      </c>
      <c r="B52" s="1">
        <v>96.0</v>
      </c>
      <c r="C52" s="3">
        <f t="shared" si="1"/>
        <v>1</v>
      </c>
      <c r="D52" s="3">
        <f t="shared" si="2"/>
        <v>10</v>
      </c>
      <c r="E52" s="3">
        <f t="shared" si="3"/>
        <v>24</v>
      </c>
      <c r="F52" s="3">
        <f t="shared" si="4"/>
        <v>48</v>
      </c>
      <c r="G52" s="3">
        <f t="shared" si="5"/>
        <v>96</v>
      </c>
      <c r="H52" s="3">
        <f t="shared" si="6"/>
        <v>97</v>
      </c>
      <c r="I52" s="3">
        <f t="shared" si="7"/>
        <v>144</v>
      </c>
      <c r="J52" s="3">
        <f t="shared" si="8"/>
        <v>192</v>
      </c>
      <c r="K52" s="3">
        <f t="shared" si="9"/>
        <v>240</v>
      </c>
      <c r="L52" s="3">
        <f t="shared" si="10"/>
        <v>288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>
        <v>200.0</v>
      </c>
      <c r="B53" s="1">
        <v>97.0</v>
      </c>
      <c r="C53" s="3">
        <f t="shared" si="1"/>
        <v>1</v>
      </c>
      <c r="D53" s="3">
        <f t="shared" si="2"/>
        <v>10</v>
      </c>
      <c r="E53" s="3">
        <f t="shared" si="3"/>
        <v>24</v>
      </c>
      <c r="F53" s="3">
        <f t="shared" si="4"/>
        <v>49</v>
      </c>
      <c r="G53" s="3">
        <f t="shared" si="5"/>
        <v>97</v>
      </c>
      <c r="H53" s="3">
        <f t="shared" si="6"/>
        <v>98</v>
      </c>
      <c r="I53" s="3">
        <f t="shared" si="7"/>
        <v>146</v>
      </c>
      <c r="J53" s="3">
        <f t="shared" si="8"/>
        <v>194</v>
      </c>
      <c r="K53" s="3">
        <f t="shared" si="9"/>
        <v>243</v>
      </c>
      <c r="L53" s="3">
        <f t="shared" si="10"/>
        <v>291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>
        <v>273.0</v>
      </c>
      <c r="B54" s="1">
        <v>98.0</v>
      </c>
      <c r="C54" s="3">
        <f t="shared" si="1"/>
        <v>1</v>
      </c>
      <c r="D54" s="3">
        <f t="shared" si="2"/>
        <v>10</v>
      </c>
      <c r="E54" s="3">
        <f t="shared" si="3"/>
        <v>25</v>
      </c>
      <c r="F54" s="3">
        <f t="shared" si="4"/>
        <v>49</v>
      </c>
      <c r="G54" s="3">
        <f t="shared" si="5"/>
        <v>98</v>
      </c>
      <c r="H54" s="3">
        <f t="shared" si="6"/>
        <v>99</v>
      </c>
      <c r="I54" s="3">
        <f t="shared" si="7"/>
        <v>147</v>
      </c>
      <c r="J54" s="3">
        <f t="shared" si="8"/>
        <v>196</v>
      </c>
      <c r="K54" s="3">
        <f t="shared" si="9"/>
        <v>245</v>
      </c>
      <c r="L54" s="3">
        <f t="shared" si="10"/>
        <v>294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4.5"/>
    <col customWidth="1" min="3" max="3" width="9.75"/>
    <col customWidth="1" min="4" max="4" width="8.63"/>
    <col customWidth="1" min="5" max="5" width="9.38"/>
    <col customWidth="1" min="6" max="6" width="8.5"/>
    <col customWidth="1" min="7" max="7" width="7.25"/>
    <col customWidth="1" min="8" max="8" width="7.88"/>
    <col customWidth="1" min="9" max="9" width="10.0"/>
    <col customWidth="1" min="10" max="10" width="9.63"/>
  </cols>
  <sheetData>
    <row r="1">
      <c r="A1" s="5" t="s">
        <v>12</v>
      </c>
      <c r="B1" s="6" t="s">
        <v>1</v>
      </c>
      <c r="C1" s="7" t="s">
        <v>13</v>
      </c>
      <c r="D1" s="7" t="s">
        <v>14</v>
      </c>
      <c r="E1" s="7" t="s">
        <v>15</v>
      </c>
      <c r="F1" s="7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>
      <c r="A2" s="1">
        <v>1.0</v>
      </c>
      <c r="B2" s="2">
        <v>11.0</v>
      </c>
      <c r="C2" s="9">
        <f t="shared" ref="C2:C53" si="1">ROUND($B2/2,0)</f>
        <v>6</v>
      </c>
      <c r="D2" s="9">
        <f t="shared" ref="D2:D53" si="2">ROUND($B2/4,0)</f>
        <v>3</v>
      </c>
      <c r="E2" s="9">
        <f t="shared" ref="E2:E53" si="3">ROUND($B2/10,0)</f>
        <v>1</v>
      </c>
      <c r="F2" s="9">
        <f t="shared" ref="F2:F53" si="4">ROUND($B2/100,0)</f>
        <v>0</v>
      </c>
      <c r="G2" s="10">
        <f t="shared" ref="G2:G53" si="5">ROUND(1.5 * $B2,0)</f>
        <v>17</v>
      </c>
      <c r="H2" s="10">
        <f t="shared" ref="H2:H53" si="6">ROUND(2 * $B2,0)</f>
        <v>22</v>
      </c>
      <c r="I2" s="10">
        <f t="shared" ref="I2:I53" si="7">ROUND(2.5 * $B2,0)</f>
        <v>28</v>
      </c>
      <c r="J2" s="10">
        <f t="shared" ref="J2:J53" si="8">ROUND(3 * $B2,0)</f>
        <v>33</v>
      </c>
    </row>
    <row r="3">
      <c r="A3" s="1">
        <v>3.0</v>
      </c>
      <c r="B3" s="2">
        <v>12.0</v>
      </c>
      <c r="C3" s="9">
        <f t="shared" si="1"/>
        <v>6</v>
      </c>
      <c r="D3" s="9">
        <f t="shared" si="2"/>
        <v>3</v>
      </c>
      <c r="E3" s="9">
        <f t="shared" si="3"/>
        <v>1</v>
      </c>
      <c r="F3" s="9">
        <f t="shared" si="4"/>
        <v>0</v>
      </c>
      <c r="G3" s="10">
        <f t="shared" si="5"/>
        <v>18</v>
      </c>
      <c r="H3" s="10">
        <f t="shared" si="6"/>
        <v>24</v>
      </c>
      <c r="I3" s="10">
        <f t="shared" si="7"/>
        <v>30</v>
      </c>
      <c r="J3" s="10">
        <f t="shared" si="8"/>
        <v>36</v>
      </c>
    </row>
    <row r="4">
      <c r="A4" s="1">
        <v>4.0</v>
      </c>
      <c r="B4" s="2">
        <v>13.0</v>
      </c>
      <c r="C4" s="9">
        <f t="shared" si="1"/>
        <v>7</v>
      </c>
      <c r="D4" s="9">
        <f t="shared" si="2"/>
        <v>3</v>
      </c>
      <c r="E4" s="9">
        <f t="shared" si="3"/>
        <v>1</v>
      </c>
      <c r="F4" s="9">
        <f t="shared" si="4"/>
        <v>0</v>
      </c>
      <c r="G4" s="10">
        <f t="shared" si="5"/>
        <v>20</v>
      </c>
      <c r="H4" s="10">
        <f t="shared" si="6"/>
        <v>26</v>
      </c>
      <c r="I4" s="10">
        <f t="shared" si="7"/>
        <v>33</v>
      </c>
      <c r="J4" s="10">
        <f t="shared" si="8"/>
        <v>39</v>
      </c>
    </row>
    <row r="5">
      <c r="A5" s="1">
        <v>5.0</v>
      </c>
      <c r="B5" s="2">
        <v>15.0</v>
      </c>
      <c r="C5" s="9">
        <f t="shared" si="1"/>
        <v>8</v>
      </c>
      <c r="D5" s="9">
        <f t="shared" si="2"/>
        <v>4</v>
      </c>
      <c r="E5" s="9">
        <f t="shared" si="3"/>
        <v>2</v>
      </c>
      <c r="F5" s="9">
        <f t="shared" si="4"/>
        <v>0</v>
      </c>
      <c r="G5" s="10">
        <f t="shared" si="5"/>
        <v>23</v>
      </c>
      <c r="H5" s="10">
        <f t="shared" si="6"/>
        <v>30</v>
      </c>
      <c r="I5" s="10">
        <f t="shared" si="7"/>
        <v>38</v>
      </c>
      <c r="J5" s="10">
        <f t="shared" si="8"/>
        <v>45</v>
      </c>
    </row>
    <row r="6">
      <c r="A6" s="1">
        <v>6.0</v>
      </c>
      <c r="B6" s="2">
        <v>17.0</v>
      </c>
      <c r="C6" s="9">
        <f t="shared" si="1"/>
        <v>9</v>
      </c>
      <c r="D6" s="9">
        <f t="shared" si="2"/>
        <v>4</v>
      </c>
      <c r="E6" s="9">
        <f t="shared" si="3"/>
        <v>2</v>
      </c>
      <c r="F6" s="9">
        <f t="shared" si="4"/>
        <v>0</v>
      </c>
      <c r="G6" s="10">
        <f t="shared" si="5"/>
        <v>26</v>
      </c>
      <c r="H6" s="10">
        <f t="shared" si="6"/>
        <v>34</v>
      </c>
      <c r="I6" s="10">
        <f t="shared" si="7"/>
        <v>43</v>
      </c>
      <c r="J6" s="10">
        <f t="shared" si="8"/>
        <v>51</v>
      </c>
    </row>
    <row r="7">
      <c r="A7" s="1">
        <v>7.0</v>
      </c>
      <c r="B7" s="2">
        <v>19.0</v>
      </c>
      <c r="C7" s="9">
        <f t="shared" si="1"/>
        <v>10</v>
      </c>
      <c r="D7" s="9">
        <f t="shared" si="2"/>
        <v>5</v>
      </c>
      <c r="E7" s="9">
        <f t="shared" si="3"/>
        <v>2</v>
      </c>
      <c r="F7" s="9">
        <f t="shared" si="4"/>
        <v>0</v>
      </c>
      <c r="G7" s="10">
        <f t="shared" si="5"/>
        <v>29</v>
      </c>
      <c r="H7" s="10">
        <f t="shared" si="6"/>
        <v>38</v>
      </c>
      <c r="I7" s="10">
        <f t="shared" si="7"/>
        <v>48</v>
      </c>
      <c r="J7" s="10">
        <f t="shared" si="8"/>
        <v>57</v>
      </c>
    </row>
    <row r="8">
      <c r="A8" s="1">
        <v>8.0</v>
      </c>
      <c r="B8" s="2">
        <v>22.0</v>
      </c>
      <c r="C8" s="9">
        <f t="shared" si="1"/>
        <v>11</v>
      </c>
      <c r="D8" s="9">
        <f t="shared" si="2"/>
        <v>6</v>
      </c>
      <c r="E8" s="9">
        <f t="shared" si="3"/>
        <v>2</v>
      </c>
      <c r="F8" s="9">
        <f t="shared" si="4"/>
        <v>0</v>
      </c>
      <c r="G8" s="10">
        <f t="shared" si="5"/>
        <v>33</v>
      </c>
      <c r="H8" s="10">
        <f t="shared" si="6"/>
        <v>44</v>
      </c>
      <c r="I8" s="10">
        <f t="shared" si="7"/>
        <v>55</v>
      </c>
      <c r="J8" s="10">
        <f t="shared" si="8"/>
        <v>66</v>
      </c>
    </row>
    <row r="9">
      <c r="A9" s="1">
        <v>9.0</v>
      </c>
      <c r="B9" s="2">
        <v>25.0</v>
      </c>
      <c r="C9" s="9">
        <f t="shared" si="1"/>
        <v>13</v>
      </c>
      <c r="D9" s="9">
        <f t="shared" si="2"/>
        <v>6</v>
      </c>
      <c r="E9" s="9">
        <f t="shared" si="3"/>
        <v>3</v>
      </c>
      <c r="F9" s="9">
        <f t="shared" si="4"/>
        <v>0</v>
      </c>
      <c r="G9" s="10">
        <f t="shared" si="5"/>
        <v>38</v>
      </c>
      <c r="H9" s="10">
        <f t="shared" si="6"/>
        <v>50</v>
      </c>
      <c r="I9" s="10">
        <f t="shared" si="7"/>
        <v>63</v>
      </c>
      <c r="J9" s="10">
        <f t="shared" si="8"/>
        <v>75</v>
      </c>
    </row>
    <row r="10">
      <c r="A10" s="1">
        <v>10.0</v>
      </c>
      <c r="B10" s="2">
        <v>29.0</v>
      </c>
      <c r="C10" s="9">
        <f t="shared" si="1"/>
        <v>15</v>
      </c>
      <c r="D10" s="9">
        <f t="shared" si="2"/>
        <v>7</v>
      </c>
      <c r="E10" s="9">
        <f t="shared" si="3"/>
        <v>3</v>
      </c>
      <c r="F10" s="9">
        <f t="shared" si="4"/>
        <v>0</v>
      </c>
      <c r="G10" s="10">
        <f t="shared" si="5"/>
        <v>44</v>
      </c>
      <c r="H10" s="10">
        <f t="shared" si="6"/>
        <v>58</v>
      </c>
      <c r="I10" s="10">
        <f t="shared" si="7"/>
        <v>73</v>
      </c>
      <c r="J10" s="10">
        <f t="shared" si="8"/>
        <v>87</v>
      </c>
    </row>
    <row r="11">
      <c r="A11" s="1">
        <v>11.0</v>
      </c>
      <c r="B11" s="2">
        <v>32.0</v>
      </c>
      <c r="C11" s="9">
        <f t="shared" si="1"/>
        <v>16</v>
      </c>
      <c r="D11" s="9">
        <f t="shared" si="2"/>
        <v>8</v>
      </c>
      <c r="E11" s="9">
        <f t="shared" si="3"/>
        <v>3</v>
      </c>
      <c r="F11" s="9">
        <f t="shared" si="4"/>
        <v>0</v>
      </c>
      <c r="G11" s="10">
        <f t="shared" si="5"/>
        <v>48</v>
      </c>
      <c r="H11" s="10">
        <f t="shared" si="6"/>
        <v>64</v>
      </c>
      <c r="I11" s="10">
        <f t="shared" si="7"/>
        <v>80</v>
      </c>
      <c r="J11" s="10">
        <f t="shared" si="8"/>
        <v>96</v>
      </c>
    </row>
    <row r="12">
      <c r="A12" s="1">
        <v>12.0</v>
      </c>
      <c r="B12" s="2">
        <v>36.0</v>
      </c>
      <c r="C12" s="9">
        <f t="shared" si="1"/>
        <v>18</v>
      </c>
      <c r="D12" s="9">
        <f t="shared" si="2"/>
        <v>9</v>
      </c>
      <c r="E12" s="9">
        <f t="shared" si="3"/>
        <v>4</v>
      </c>
      <c r="F12" s="9">
        <f t="shared" si="4"/>
        <v>0</v>
      </c>
      <c r="G12" s="10">
        <f t="shared" si="5"/>
        <v>54</v>
      </c>
      <c r="H12" s="10">
        <f t="shared" si="6"/>
        <v>72</v>
      </c>
      <c r="I12" s="10">
        <f t="shared" si="7"/>
        <v>90</v>
      </c>
      <c r="J12" s="10">
        <f t="shared" si="8"/>
        <v>108</v>
      </c>
    </row>
    <row r="13">
      <c r="A13" s="1">
        <v>13.0</v>
      </c>
      <c r="B13" s="2">
        <v>39.0</v>
      </c>
      <c r="C13" s="9">
        <f t="shared" si="1"/>
        <v>20</v>
      </c>
      <c r="D13" s="9">
        <f t="shared" si="2"/>
        <v>10</v>
      </c>
      <c r="E13" s="9">
        <f t="shared" si="3"/>
        <v>4</v>
      </c>
      <c r="F13" s="9">
        <f t="shared" si="4"/>
        <v>0</v>
      </c>
      <c r="G13" s="10">
        <f t="shared" si="5"/>
        <v>59</v>
      </c>
      <c r="H13" s="10">
        <f t="shared" si="6"/>
        <v>78</v>
      </c>
      <c r="I13" s="10">
        <f t="shared" si="7"/>
        <v>98</v>
      </c>
      <c r="J13" s="10">
        <f t="shared" si="8"/>
        <v>117</v>
      </c>
    </row>
    <row r="14">
      <c r="A14" s="1">
        <v>14.0</v>
      </c>
      <c r="B14" s="2">
        <v>43.0</v>
      </c>
      <c r="C14" s="9">
        <f t="shared" si="1"/>
        <v>22</v>
      </c>
      <c r="D14" s="9">
        <f t="shared" si="2"/>
        <v>11</v>
      </c>
      <c r="E14" s="9">
        <f t="shared" si="3"/>
        <v>4</v>
      </c>
      <c r="F14" s="9">
        <f t="shared" si="4"/>
        <v>0</v>
      </c>
      <c r="G14" s="10">
        <f t="shared" si="5"/>
        <v>65</v>
      </c>
      <c r="H14" s="10">
        <f t="shared" si="6"/>
        <v>86</v>
      </c>
      <c r="I14" s="10">
        <f t="shared" si="7"/>
        <v>108</v>
      </c>
      <c r="J14" s="10">
        <f t="shared" si="8"/>
        <v>129</v>
      </c>
    </row>
    <row r="15">
      <c r="A15" s="1">
        <v>15.0</v>
      </c>
      <c r="B15" s="2">
        <v>47.0</v>
      </c>
      <c r="C15" s="9">
        <f t="shared" si="1"/>
        <v>24</v>
      </c>
      <c r="D15" s="9">
        <f t="shared" si="2"/>
        <v>12</v>
      </c>
      <c r="E15" s="9">
        <f t="shared" si="3"/>
        <v>5</v>
      </c>
      <c r="F15" s="9">
        <f t="shared" si="4"/>
        <v>0</v>
      </c>
      <c r="G15" s="10">
        <f t="shared" si="5"/>
        <v>71</v>
      </c>
      <c r="H15" s="10">
        <f t="shared" si="6"/>
        <v>94</v>
      </c>
      <c r="I15" s="10">
        <f t="shared" si="7"/>
        <v>118</v>
      </c>
      <c r="J15" s="10">
        <f t="shared" si="8"/>
        <v>141</v>
      </c>
    </row>
    <row r="16">
      <c r="A16" s="1">
        <v>16.0</v>
      </c>
      <c r="B16" s="2">
        <v>50.0</v>
      </c>
      <c r="C16" s="9">
        <f t="shared" si="1"/>
        <v>25</v>
      </c>
      <c r="D16" s="9">
        <f t="shared" si="2"/>
        <v>13</v>
      </c>
      <c r="E16" s="9">
        <f t="shared" si="3"/>
        <v>5</v>
      </c>
      <c r="F16" s="9">
        <f t="shared" si="4"/>
        <v>1</v>
      </c>
      <c r="G16" s="10">
        <f t="shared" si="5"/>
        <v>75</v>
      </c>
      <c r="H16" s="10">
        <f t="shared" si="6"/>
        <v>100</v>
      </c>
      <c r="I16" s="10">
        <f t="shared" si="7"/>
        <v>125</v>
      </c>
      <c r="J16" s="10">
        <f t="shared" si="8"/>
        <v>150</v>
      </c>
    </row>
    <row r="17">
      <c r="A17" s="1">
        <v>17.0</v>
      </c>
      <c r="B17" s="2">
        <v>54.0</v>
      </c>
      <c r="C17" s="9">
        <f t="shared" si="1"/>
        <v>27</v>
      </c>
      <c r="D17" s="9">
        <f t="shared" si="2"/>
        <v>14</v>
      </c>
      <c r="E17" s="9">
        <f t="shared" si="3"/>
        <v>5</v>
      </c>
      <c r="F17" s="9">
        <f t="shared" si="4"/>
        <v>1</v>
      </c>
      <c r="G17" s="10">
        <f t="shared" si="5"/>
        <v>81</v>
      </c>
      <c r="H17" s="10">
        <f t="shared" si="6"/>
        <v>108</v>
      </c>
      <c r="I17" s="10">
        <f t="shared" si="7"/>
        <v>135</v>
      </c>
      <c r="J17" s="10">
        <f t="shared" si="8"/>
        <v>162</v>
      </c>
    </row>
    <row r="18">
      <c r="A18" s="1">
        <v>18.0</v>
      </c>
      <c r="B18" s="2">
        <v>57.0</v>
      </c>
      <c r="C18" s="9">
        <f t="shared" si="1"/>
        <v>29</v>
      </c>
      <c r="D18" s="9">
        <f t="shared" si="2"/>
        <v>14</v>
      </c>
      <c r="E18" s="9">
        <f t="shared" si="3"/>
        <v>6</v>
      </c>
      <c r="F18" s="9">
        <f t="shared" si="4"/>
        <v>1</v>
      </c>
      <c r="G18" s="10">
        <f t="shared" si="5"/>
        <v>86</v>
      </c>
      <c r="H18" s="10">
        <f t="shared" si="6"/>
        <v>114</v>
      </c>
      <c r="I18" s="10">
        <f t="shared" si="7"/>
        <v>143</v>
      </c>
      <c r="J18" s="10">
        <f t="shared" si="8"/>
        <v>171</v>
      </c>
    </row>
    <row r="19">
      <c r="A19" s="1">
        <v>19.0</v>
      </c>
      <c r="B19" s="2">
        <v>60.0</v>
      </c>
      <c r="C19" s="9">
        <f t="shared" si="1"/>
        <v>30</v>
      </c>
      <c r="D19" s="9">
        <f t="shared" si="2"/>
        <v>15</v>
      </c>
      <c r="E19" s="9">
        <f t="shared" si="3"/>
        <v>6</v>
      </c>
      <c r="F19" s="9">
        <f t="shared" si="4"/>
        <v>1</v>
      </c>
      <c r="G19" s="10">
        <f t="shared" si="5"/>
        <v>90</v>
      </c>
      <c r="H19" s="10">
        <f t="shared" si="6"/>
        <v>120</v>
      </c>
      <c r="I19" s="10">
        <f t="shared" si="7"/>
        <v>150</v>
      </c>
      <c r="J19" s="10">
        <f t="shared" si="8"/>
        <v>180</v>
      </c>
    </row>
    <row r="20">
      <c r="A20" s="1">
        <v>20.0</v>
      </c>
      <c r="B20" s="2">
        <v>63.0</v>
      </c>
      <c r="C20" s="9">
        <f t="shared" si="1"/>
        <v>32</v>
      </c>
      <c r="D20" s="9">
        <f t="shared" si="2"/>
        <v>16</v>
      </c>
      <c r="E20" s="9">
        <f t="shared" si="3"/>
        <v>6</v>
      </c>
      <c r="F20" s="9">
        <f t="shared" si="4"/>
        <v>1</v>
      </c>
      <c r="G20" s="10">
        <f t="shared" si="5"/>
        <v>95</v>
      </c>
      <c r="H20" s="10">
        <f t="shared" si="6"/>
        <v>126</v>
      </c>
      <c r="I20" s="10">
        <f t="shared" si="7"/>
        <v>158</v>
      </c>
      <c r="J20" s="10">
        <f t="shared" si="8"/>
        <v>189</v>
      </c>
    </row>
    <row r="21">
      <c r="A21" s="1">
        <v>21.0</v>
      </c>
      <c r="B21" s="2">
        <v>66.0</v>
      </c>
      <c r="C21" s="9">
        <f t="shared" si="1"/>
        <v>33</v>
      </c>
      <c r="D21" s="9">
        <f t="shared" si="2"/>
        <v>17</v>
      </c>
      <c r="E21" s="9">
        <f t="shared" si="3"/>
        <v>7</v>
      </c>
      <c r="F21" s="9">
        <f t="shared" si="4"/>
        <v>1</v>
      </c>
      <c r="G21" s="10">
        <f t="shared" si="5"/>
        <v>99</v>
      </c>
      <c r="H21" s="10">
        <f t="shared" si="6"/>
        <v>132</v>
      </c>
      <c r="I21" s="10">
        <f t="shared" si="7"/>
        <v>165</v>
      </c>
      <c r="J21" s="10">
        <f t="shared" si="8"/>
        <v>198</v>
      </c>
    </row>
    <row r="22">
      <c r="A22" s="1">
        <v>22.0</v>
      </c>
      <c r="B22" s="2">
        <v>69.0</v>
      </c>
      <c r="C22" s="9">
        <f t="shared" si="1"/>
        <v>35</v>
      </c>
      <c r="D22" s="9">
        <f t="shared" si="2"/>
        <v>17</v>
      </c>
      <c r="E22" s="9">
        <f t="shared" si="3"/>
        <v>7</v>
      </c>
      <c r="F22" s="9">
        <f t="shared" si="4"/>
        <v>1</v>
      </c>
      <c r="G22" s="10">
        <f t="shared" si="5"/>
        <v>104</v>
      </c>
      <c r="H22" s="10">
        <f t="shared" si="6"/>
        <v>138</v>
      </c>
      <c r="I22" s="10">
        <f t="shared" si="7"/>
        <v>173</v>
      </c>
      <c r="J22" s="10">
        <f t="shared" si="8"/>
        <v>207</v>
      </c>
    </row>
    <row r="23">
      <c r="A23" s="1">
        <v>23.0</v>
      </c>
      <c r="B23" s="2">
        <v>71.0</v>
      </c>
      <c r="C23" s="9">
        <f t="shared" si="1"/>
        <v>36</v>
      </c>
      <c r="D23" s="9">
        <f t="shared" si="2"/>
        <v>18</v>
      </c>
      <c r="E23" s="9">
        <f t="shared" si="3"/>
        <v>7</v>
      </c>
      <c r="F23" s="9">
        <f t="shared" si="4"/>
        <v>1</v>
      </c>
      <c r="G23" s="10">
        <f t="shared" si="5"/>
        <v>107</v>
      </c>
      <c r="H23" s="10">
        <f t="shared" si="6"/>
        <v>142</v>
      </c>
      <c r="I23" s="10">
        <f t="shared" si="7"/>
        <v>178</v>
      </c>
      <c r="J23" s="10">
        <f t="shared" si="8"/>
        <v>213</v>
      </c>
    </row>
    <row r="24">
      <c r="A24" s="1">
        <v>24.0</v>
      </c>
      <c r="B24" s="2">
        <v>74.0</v>
      </c>
      <c r="C24" s="9">
        <f t="shared" si="1"/>
        <v>37</v>
      </c>
      <c r="D24" s="9">
        <f t="shared" si="2"/>
        <v>19</v>
      </c>
      <c r="E24" s="9">
        <f t="shared" si="3"/>
        <v>7</v>
      </c>
      <c r="F24" s="9">
        <f t="shared" si="4"/>
        <v>1</v>
      </c>
      <c r="G24" s="10">
        <f t="shared" si="5"/>
        <v>111</v>
      </c>
      <c r="H24" s="10">
        <f t="shared" si="6"/>
        <v>148</v>
      </c>
      <c r="I24" s="10">
        <f t="shared" si="7"/>
        <v>185</v>
      </c>
      <c r="J24" s="10">
        <f t="shared" si="8"/>
        <v>222</v>
      </c>
    </row>
    <row r="25">
      <c r="A25" s="1">
        <v>25.0</v>
      </c>
      <c r="B25" s="2">
        <v>76.0</v>
      </c>
      <c r="C25" s="9">
        <f t="shared" si="1"/>
        <v>38</v>
      </c>
      <c r="D25" s="9">
        <f t="shared" si="2"/>
        <v>19</v>
      </c>
      <c r="E25" s="9">
        <f t="shared" si="3"/>
        <v>8</v>
      </c>
      <c r="F25" s="9">
        <f t="shared" si="4"/>
        <v>1</v>
      </c>
      <c r="G25" s="10">
        <f t="shared" si="5"/>
        <v>114</v>
      </c>
      <c r="H25" s="10">
        <f t="shared" si="6"/>
        <v>152</v>
      </c>
      <c r="I25" s="10">
        <f t="shared" si="7"/>
        <v>190</v>
      </c>
      <c r="J25" s="10">
        <f t="shared" si="8"/>
        <v>228</v>
      </c>
    </row>
    <row r="26">
      <c r="A26" s="1">
        <v>26.0</v>
      </c>
      <c r="B26" s="2">
        <v>78.0</v>
      </c>
      <c r="C26" s="9">
        <f t="shared" si="1"/>
        <v>39</v>
      </c>
      <c r="D26" s="9">
        <f t="shared" si="2"/>
        <v>20</v>
      </c>
      <c r="E26" s="9">
        <f t="shared" si="3"/>
        <v>8</v>
      </c>
      <c r="F26" s="9">
        <f t="shared" si="4"/>
        <v>1</v>
      </c>
      <c r="G26" s="10">
        <f t="shared" si="5"/>
        <v>117</v>
      </c>
      <c r="H26" s="10">
        <f t="shared" si="6"/>
        <v>156</v>
      </c>
      <c r="I26" s="10">
        <f t="shared" si="7"/>
        <v>195</v>
      </c>
      <c r="J26" s="10">
        <f t="shared" si="8"/>
        <v>234</v>
      </c>
    </row>
    <row r="27">
      <c r="A27" s="1">
        <v>27.0</v>
      </c>
      <c r="B27" s="2">
        <v>80.0</v>
      </c>
      <c r="C27" s="9">
        <f t="shared" si="1"/>
        <v>40</v>
      </c>
      <c r="D27" s="9">
        <f t="shared" si="2"/>
        <v>20</v>
      </c>
      <c r="E27" s="9">
        <f t="shared" si="3"/>
        <v>8</v>
      </c>
      <c r="F27" s="9">
        <f t="shared" si="4"/>
        <v>1</v>
      </c>
      <c r="G27" s="10">
        <f t="shared" si="5"/>
        <v>120</v>
      </c>
      <c r="H27" s="10">
        <f t="shared" si="6"/>
        <v>160</v>
      </c>
      <c r="I27" s="10">
        <f t="shared" si="7"/>
        <v>200</v>
      </c>
      <c r="J27" s="10">
        <f t="shared" si="8"/>
        <v>240</v>
      </c>
    </row>
    <row r="28">
      <c r="A28" s="1">
        <v>28.0</v>
      </c>
      <c r="B28" s="2">
        <v>82.0</v>
      </c>
      <c r="C28" s="9">
        <f t="shared" si="1"/>
        <v>41</v>
      </c>
      <c r="D28" s="9">
        <f t="shared" si="2"/>
        <v>21</v>
      </c>
      <c r="E28" s="9">
        <f t="shared" si="3"/>
        <v>8</v>
      </c>
      <c r="F28" s="9">
        <f t="shared" si="4"/>
        <v>1</v>
      </c>
      <c r="G28" s="10">
        <f t="shared" si="5"/>
        <v>123</v>
      </c>
      <c r="H28" s="10">
        <f t="shared" si="6"/>
        <v>164</v>
      </c>
      <c r="I28" s="10">
        <f t="shared" si="7"/>
        <v>205</v>
      </c>
      <c r="J28" s="10">
        <f t="shared" si="8"/>
        <v>246</v>
      </c>
    </row>
    <row r="29">
      <c r="A29" s="1">
        <v>29.0</v>
      </c>
      <c r="B29" s="2">
        <v>83.0</v>
      </c>
      <c r="C29" s="9">
        <f t="shared" si="1"/>
        <v>42</v>
      </c>
      <c r="D29" s="9">
        <f t="shared" si="2"/>
        <v>21</v>
      </c>
      <c r="E29" s="9">
        <f t="shared" si="3"/>
        <v>8</v>
      </c>
      <c r="F29" s="9">
        <f t="shared" si="4"/>
        <v>1</v>
      </c>
      <c r="G29" s="10">
        <f t="shared" si="5"/>
        <v>125</v>
      </c>
      <c r="H29" s="10">
        <f t="shared" si="6"/>
        <v>166</v>
      </c>
      <c r="I29" s="10">
        <f t="shared" si="7"/>
        <v>208</v>
      </c>
      <c r="J29" s="10">
        <f t="shared" si="8"/>
        <v>249</v>
      </c>
    </row>
    <row r="30">
      <c r="A30" s="1">
        <v>30.0</v>
      </c>
      <c r="B30" s="2">
        <v>85.0</v>
      </c>
      <c r="C30" s="9">
        <f t="shared" si="1"/>
        <v>43</v>
      </c>
      <c r="D30" s="9">
        <f t="shared" si="2"/>
        <v>21</v>
      </c>
      <c r="E30" s="9">
        <f t="shared" si="3"/>
        <v>9</v>
      </c>
      <c r="F30" s="9">
        <f t="shared" si="4"/>
        <v>1</v>
      </c>
      <c r="G30" s="10">
        <f t="shared" si="5"/>
        <v>128</v>
      </c>
      <c r="H30" s="10">
        <f t="shared" si="6"/>
        <v>170</v>
      </c>
      <c r="I30" s="10">
        <f t="shared" si="7"/>
        <v>213</v>
      </c>
      <c r="J30" s="10">
        <f t="shared" si="8"/>
        <v>255</v>
      </c>
    </row>
    <row r="31">
      <c r="A31" s="1">
        <v>31.0</v>
      </c>
      <c r="B31" s="2">
        <v>86.0</v>
      </c>
      <c r="C31" s="9">
        <f t="shared" si="1"/>
        <v>43</v>
      </c>
      <c r="D31" s="9">
        <f t="shared" si="2"/>
        <v>22</v>
      </c>
      <c r="E31" s="9">
        <f t="shared" si="3"/>
        <v>9</v>
      </c>
      <c r="F31" s="9">
        <f t="shared" si="4"/>
        <v>1</v>
      </c>
      <c r="G31" s="10">
        <f t="shared" si="5"/>
        <v>129</v>
      </c>
      <c r="H31" s="10">
        <f t="shared" si="6"/>
        <v>172</v>
      </c>
      <c r="I31" s="10">
        <f t="shared" si="7"/>
        <v>215</v>
      </c>
      <c r="J31" s="10">
        <f t="shared" si="8"/>
        <v>258</v>
      </c>
    </row>
    <row r="32">
      <c r="A32" s="1">
        <v>32.0</v>
      </c>
      <c r="B32" s="2">
        <v>87.0</v>
      </c>
      <c r="C32" s="9">
        <f t="shared" si="1"/>
        <v>44</v>
      </c>
      <c r="D32" s="9">
        <f t="shared" si="2"/>
        <v>22</v>
      </c>
      <c r="E32" s="9">
        <f t="shared" si="3"/>
        <v>9</v>
      </c>
      <c r="F32" s="9">
        <f t="shared" si="4"/>
        <v>1</v>
      </c>
      <c r="G32" s="10">
        <f t="shared" si="5"/>
        <v>131</v>
      </c>
      <c r="H32" s="10">
        <f t="shared" si="6"/>
        <v>174</v>
      </c>
      <c r="I32" s="10">
        <f t="shared" si="7"/>
        <v>218</v>
      </c>
      <c r="J32" s="10">
        <f t="shared" si="8"/>
        <v>261</v>
      </c>
    </row>
    <row r="33">
      <c r="A33" s="1">
        <v>33.0</v>
      </c>
      <c r="B33" s="2">
        <v>89.0</v>
      </c>
      <c r="C33" s="9">
        <f t="shared" si="1"/>
        <v>45</v>
      </c>
      <c r="D33" s="9">
        <f t="shared" si="2"/>
        <v>22</v>
      </c>
      <c r="E33" s="9">
        <f t="shared" si="3"/>
        <v>9</v>
      </c>
      <c r="F33" s="9">
        <f t="shared" si="4"/>
        <v>1</v>
      </c>
      <c r="G33" s="10">
        <f t="shared" si="5"/>
        <v>134</v>
      </c>
      <c r="H33" s="10">
        <f t="shared" si="6"/>
        <v>178</v>
      </c>
      <c r="I33" s="10">
        <f t="shared" si="7"/>
        <v>223</v>
      </c>
      <c r="J33" s="10">
        <f t="shared" si="8"/>
        <v>267</v>
      </c>
    </row>
    <row r="34">
      <c r="A34" s="1">
        <v>34.0</v>
      </c>
      <c r="B34" s="2">
        <v>90.0</v>
      </c>
      <c r="C34" s="9">
        <f t="shared" si="1"/>
        <v>45</v>
      </c>
      <c r="D34" s="9">
        <f t="shared" si="2"/>
        <v>23</v>
      </c>
      <c r="E34" s="9">
        <f t="shared" si="3"/>
        <v>9</v>
      </c>
      <c r="F34" s="9">
        <f t="shared" si="4"/>
        <v>1</v>
      </c>
      <c r="G34" s="10">
        <f t="shared" si="5"/>
        <v>135</v>
      </c>
      <c r="H34" s="10">
        <f t="shared" si="6"/>
        <v>180</v>
      </c>
      <c r="I34" s="10">
        <f t="shared" si="7"/>
        <v>225</v>
      </c>
      <c r="J34" s="10">
        <f t="shared" si="8"/>
        <v>270</v>
      </c>
    </row>
    <row r="35">
      <c r="A35" s="1">
        <v>35.0</v>
      </c>
      <c r="B35" s="2">
        <v>91.0</v>
      </c>
      <c r="C35" s="9">
        <f t="shared" si="1"/>
        <v>46</v>
      </c>
      <c r="D35" s="9">
        <f t="shared" si="2"/>
        <v>23</v>
      </c>
      <c r="E35" s="9">
        <f t="shared" si="3"/>
        <v>9</v>
      </c>
      <c r="F35" s="9">
        <f t="shared" si="4"/>
        <v>1</v>
      </c>
      <c r="G35" s="10">
        <f t="shared" si="5"/>
        <v>137</v>
      </c>
      <c r="H35" s="10">
        <f t="shared" si="6"/>
        <v>182</v>
      </c>
      <c r="I35" s="10">
        <f t="shared" si="7"/>
        <v>228</v>
      </c>
      <c r="J35" s="10">
        <f t="shared" si="8"/>
        <v>273</v>
      </c>
    </row>
    <row r="36">
      <c r="A36" s="1">
        <v>36.0</v>
      </c>
      <c r="B36" s="2">
        <v>92.0</v>
      </c>
      <c r="C36" s="9">
        <f t="shared" si="1"/>
        <v>46</v>
      </c>
      <c r="D36" s="9">
        <f t="shared" si="2"/>
        <v>23</v>
      </c>
      <c r="E36" s="9">
        <f t="shared" si="3"/>
        <v>9</v>
      </c>
      <c r="F36" s="9">
        <f t="shared" si="4"/>
        <v>1</v>
      </c>
      <c r="G36" s="10">
        <f t="shared" si="5"/>
        <v>138</v>
      </c>
      <c r="H36" s="10">
        <f t="shared" si="6"/>
        <v>184</v>
      </c>
      <c r="I36" s="10">
        <f t="shared" si="7"/>
        <v>230</v>
      </c>
      <c r="J36" s="10">
        <f t="shared" si="8"/>
        <v>276</v>
      </c>
    </row>
    <row r="37">
      <c r="A37" s="1">
        <v>37.0</v>
      </c>
      <c r="B37" s="2">
        <v>93.0</v>
      </c>
      <c r="C37" s="9">
        <f t="shared" si="1"/>
        <v>47</v>
      </c>
      <c r="D37" s="9">
        <f t="shared" si="2"/>
        <v>23</v>
      </c>
      <c r="E37" s="9">
        <f t="shared" si="3"/>
        <v>9</v>
      </c>
      <c r="F37" s="9">
        <f t="shared" si="4"/>
        <v>1</v>
      </c>
      <c r="G37" s="10">
        <f t="shared" si="5"/>
        <v>140</v>
      </c>
      <c r="H37" s="10">
        <f t="shared" si="6"/>
        <v>186</v>
      </c>
      <c r="I37" s="10">
        <f t="shared" si="7"/>
        <v>233</v>
      </c>
      <c r="J37" s="10">
        <f t="shared" si="8"/>
        <v>279</v>
      </c>
    </row>
    <row r="38">
      <c r="A38" s="1">
        <v>38.0</v>
      </c>
      <c r="B38" s="2">
        <v>94.0</v>
      </c>
      <c r="C38" s="9">
        <f t="shared" si="1"/>
        <v>47</v>
      </c>
      <c r="D38" s="9">
        <f t="shared" si="2"/>
        <v>24</v>
      </c>
      <c r="E38" s="9">
        <f t="shared" si="3"/>
        <v>9</v>
      </c>
      <c r="F38" s="9">
        <f t="shared" si="4"/>
        <v>1</v>
      </c>
      <c r="G38" s="10">
        <f t="shared" si="5"/>
        <v>141</v>
      </c>
      <c r="H38" s="10">
        <f t="shared" si="6"/>
        <v>188</v>
      </c>
      <c r="I38" s="10">
        <f t="shared" si="7"/>
        <v>235</v>
      </c>
      <c r="J38" s="10">
        <f t="shared" si="8"/>
        <v>282</v>
      </c>
    </row>
    <row r="39">
      <c r="A39" s="1">
        <v>39.0</v>
      </c>
      <c r="B39" s="2">
        <v>95.0</v>
      </c>
      <c r="C39" s="9">
        <f t="shared" si="1"/>
        <v>48</v>
      </c>
      <c r="D39" s="9">
        <f t="shared" si="2"/>
        <v>24</v>
      </c>
      <c r="E39" s="9">
        <f t="shared" si="3"/>
        <v>10</v>
      </c>
      <c r="F39" s="9">
        <f t="shared" si="4"/>
        <v>1</v>
      </c>
      <c r="G39" s="10">
        <f t="shared" si="5"/>
        <v>143</v>
      </c>
      <c r="H39" s="10">
        <f t="shared" si="6"/>
        <v>190</v>
      </c>
      <c r="I39" s="10">
        <f t="shared" si="7"/>
        <v>238</v>
      </c>
      <c r="J39" s="10">
        <f t="shared" si="8"/>
        <v>285</v>
      </c>
    </row>
    <row r="40">
      <c r="A40" s="1">
        <v>41.0</v>
      </c>
      <c r="B40" s="2">
        <v>96.0</v>
      </c>
      <c r="C40" s="9">
        <f t="shared" si="1"/>
        <v>48</v>
      </c>
      <c r="D40" s="9">
        <f t="shared" si="2"/>
        <v>24</v>
      </c>
      <c r="E40" s="9">
        <f t="shared" si="3"/>
        <v>10</v>
      </c>
      <c r="F40" s="9">
        <f t="shared" si="4"/>
        <v>1</v>
      </c>
      <c r="G40" s="10">
        <f t="shared" si="5"/>
        <v>144</v>
      </c>
      <c r="H40" s="10">
        <f t="shared" si="6"/>
        <v>192</v>
      </c>
      <c r="I40" s="10">
        <f t="shared" si="7"/>
        <v>240</v>
      </c>
      <c r="J40" s="10">
        <f t="shared" si="8"/>
        <v>288</v>
      </c>
    </row>
    <row r="41">
      <c r="A41" s="1">
        <v>42.0</v>
      </c>
      <c r="B41" s="2">
        <v>97.0</v>
      </c>
      <c r="C41" s="9">
        <f t="shared" si="1"/>
        <v>49</v>
      </c>
      <c r="D41" s="9">
        <f t="shared" si="2"/>
        <v>24</v>
      </c>
      <c r="E41" s="9">
        <f t="shared" si="3"/>
        <v>10</v>
      </c>
      <c r="F41" s="9">
        <f t="shared" si="4"/>
        <v>1</v>
      </c>
      <c r="G41" s="10">
        <f t="shared" si="5"/>
        <v>146</v>
      </c>
      <c r="H41" s="10">
        <f t="shared" si="6"/>
        <v>194</v>
      </c>
      <c r="I41" s="10">
        <f t="shared" si="7"/>
        <v>243</v>
      </c>
      <c r="J41" s="10">
        <f t="shared" si="8"/>
        <v>291</v>
      </c>
    </row>
    <row r="42">
      <c r="A42" s="1">
        <v>44.0</v>
      </c>
      <c r="B42" s="2">
        <v>98.0</v>
      </c>
      <c r="C42" s="9">
        <f t="shared" si="1"/>
        <v>49</v>
      </c>
      <c r="D42" s="9">
        <f t="shared" si="2"/>
        <v>25</v>
      </c>
      <c r="E42" s="9">
        <f t="shared" si="3"/>
        <v>10</v>
      </c>
      <c r="F42" s="9">
        <f t="shared" si="4"/>
        <v>1</v>
      </c>
      <c r="G42" s="10">
        <f t="shared" si="5"/>
        <v>147</v>
      </c>
      <c r="H42" s="10">
        <f t="shared" si="6"/>
        <v>196</v>
      </c>
      <c r="I42" s="10">
        <f t="shared" si="7"/>
        <v>245</v>
      </c>
      <c r="J42" s="10">
        <f t="shared" si="8"/>
        <v>294</v>
      </c>
    </row>
    <row r="43">
      <c r="A43" s="1">
        <v>46.0</v>
      </c>
      <c r="B43" s="2">
        <v>99.0</v>
      </c>
      <c r="C43" s="9">
        <f t="shared" si="1"/>
        <v>50</v>
      </c>
      <c r="D43" s="9">
        <f t="shared" si="2"/>
        <v>25</v>
      </c>
      <c r="E43" s="9">
        <f t="shared" si="3"/>
        <v>10</v>
      </c>
      <c r="F43" s="9">
        <f t="shared" si="4"/>
        <v>1</v>
      </c>
      <c r="G43" s="10">
        <f t="shared" si="5"/>
        <v>149</v>
      </c>
      <c r="H43" s="10">
        <f t="shared" si="6"/>
        <v>198</v>
      </c>
      <c r="I43" s="10">
        <f t="shared" si="7"/>
        <v>248</v>
      </c>
      <c r="J43" s="10">
        <f t="shared" si="8"/>
        <v>297</v>
      </c>
    </row>
    <row r="44">
      <c r="A44" s="1">
        <v>48.0</v>
      </c>
      <c r="B44" s="2">
        <v>100.0</v>
      </c>
      <c r="C44" s="9">
        <f t="shared" si="1"/>
        <v>50</v>
      </c>
      <c r="D44" s="9">
        <f t="shared" si="2"/>
        <v>25</v>
      </c>
      <c r="E44" s="9">
        <f t="shared" si="3"/>
        <v>10</v>
      </c>
      <c r="F44" s="9">
        <f t="shared" si="4"/>
        <v>1</v>
      </c>
      <c r="G44" s="10">
        <f t="shared" si="5"/>
        <v>150</v>
      </c>
      <c r="H44" s="10">
        <f t="shared" si="6"/>
        <v>200</v>
      </c>
      <c r="I44" s="10">
        <f t="shared" si="7"/>
        <v>250</v>
      </c>
      <c r="J44" s="10">
        <f t="shared" si="8"/>
        <v>300</v>
      </c>
    </row>
    <row r="45">
      <c r="A45" s="1">
        <v>50.0</v>
      </c>
      <c r="B45" s="2">
        <v>101.0</v>
      </c>
      <c r="C45" s="9">
        <f t="shared" si="1"/>
        <v>51</v>
      </c>
      <c r="D45" s="9">
        <f t="shared" si="2"/>
        <v>25</v>
      </c>
      <c r="E45" s="9">
        <f t="shared" si="3"/>
        <v>10</v>
      </c>
      <c r="F45" s="9">
        <f t="shared" si="4"/>
        <v>1</v>
      </c>
      <c r="G45" s="10">
        <f t="shared" si="5"/>
        <v>152</v>
      </c>
      <c r="H45" s="10">
        <f t="shared" si="6"/>
        <v>202</v>
      </c>
      <c r="I45" s="10">
        <f t="shared" si="7"/>
        <v>253</v>
      </c>
      <c r="J45" s="10">
        <f t="shared" si="8"/>
        <v>303</v>
      </c>
    </row>
    <row r="46">
      <c r="A46" s="1">
        <v>53.0</v>
      </c>
      <c r="B46" s="2">
        <v>102.0</v>
      </c>
      <c r="C46" s="9">
        <f t="shared" si="1"/>
        <v>51</v>
      </c>
      <c r="D46" s="9">
        <f t="shared" si="2"/>
        <v>26</v>
      </c>
      <c r="E46" s="9">
        <f t="shared" si="3"/>
        <v>10</v>
      </c>
      <c r="F46" s="9">
        <f t="shared" si="4"/>
        <v>1</v>
      </c>
      <c r="G46" s="10">
        <f t="shared" si="5"/>
        <v>153</v>
      </c>
      <c r="H46" s="10">
        <f t="shared" si="6"/>
        <v>204</v>
      </c>
      <c r="I46" s="10">
        <f t="shared" si="7"/>
        <v>255</v>
      </c>
      <c r="J46" s="10">
        <f t="shared" si="8"/>
        <v>306</v>
      </c>
    </row>
    <row r="47">
      <c r="A47" s="1">
        <v>56.0</v>
      </c>
      <c r="B47" s="2">
        <v>103.0</v>
      </c>
      <c r="C47" s="9">
        <f t="shared" si="1"/>
        <v>52</v>
      </c>
      <c r="D47" s="9">
        <f t="shared" si="2"/>
        <v>26</v>
      </c>
      <c r="E47" s="9">
        <f t="shared" si="3"/>
        <v>10</v>
      </c>
      <c r="F47" s="9">
        <f t="shared" si="4"/>
        <v>1</v>
      </c>
      <c r="G47" s="10">
        <f t="shared" si="5"/>
        <v>155</v>
      </c>
      <c r="H47" s="10">
        <f t="shared" si="6"/>
        <v>206</v>
      </c>
      <c r="I47" s="10">
        <f t="shared" si="7"/>
        <v>258</v>
      </c>
      <c r="J47" s="10">
        <f t="shared" si="8"/>
        <v>309</v>
      </c>
    </row>
    <row r="48">
      <c r="A48" s="1">
        <v>59.0</v>
      </c>
      <c r="B48" s="2">
        <v>104.0</v>
      </c>
      <c r="C48" s="9">
        <f t="shared" si="1"/>
        <v>52</v>
      </c>
      <c r="D48" s="9">
        <f t="shared" si="2"/>
        <v>26</v>
      </c>
      <c r="E48" s="9">
        <f t="shared" si="3"/>
        <v>10</v>
      </c>
      <c r="F48" s="9">
        <f t="shared" si="4"/>
        <v>1</v>
      </c>
      <c r="G48" s="10">
        <f t="shared" si="5"/>
        <v>156</v>
      </c>
      <c r="H48" s="10">
        <f t="shared" si="6"/>
        <v>208</v>
      </c>
      <c r="I48" s="10">
        <f t="shared" si="7"/>
        <v>260</v>
      </c>
      <c r="J48" s="10">
        <f t="shared" si="8"/>
        <v>312</v>
      </c>
    </row>
    <row r="49">
      <c r="A49" s="1">
        <v>64.0</v>
      </c>
      <c r="B49" s="2">
        <v>105.0</v>
      </c>
      <c r="C49" s="9">
        <f t="shared" si="1"/>
        <v>53</v>
      </c>
      <c r="D49" s="9">
        <f t="shared" si="2"/>
        <v>26</v>
      </c>
      <c r="E49" s="9">
        <f t="shared" si="3"/>
        <v>11</v>
      </c>
      <c r="F49" s="9">
        <f t="shared" si="4"/>
        <v>1</v>
      </c>
      <c r="G49" s="10">
        <f t="shared" si="5"/>
        <v>158</v>
      </c>
      <c r="H49" s="10">
        <f t="shared" si="6"/>
        <v>210</v>
      </c>
      <c r="I49" s="10">
        <f t="shared" si="7"/>
        <v>263</v>
      </c>
      <c r="J49" s="10">
        <f t="shared" si="8"/>
        <v>315</v>
      </c>
    </row>
    <row r="50">
      <c r="A50" s="1">
        <v>70.0</v>
      </c>
      <c r="B50" s="2">
        <v>106.0</v>
      </c>
      <c r="C50" s="9">
        <f t="shared" si="1"/>
        <v>53</v>
      </c>
      <c r="D50" s="9">
        <f t="shared" si="2"/>
        <v>27</v>
      </c>
      <c r="E50" s="9">
        <f t="shared" si="3"/>
        <v>11</v>
      </c>
      <c r="F50" s="9">
        <f t="shared" si="4"/>
        <v>1</v>
      </c>
      <c r="G50" s="10">
        <f t="shared" si="5"/>
        <v>159</v>
      </c>
      <c r="H50" s="10">
        <f t="shared" si="6"/>
        <v>212</v>
      </c>
      <c r="I50" s="10">
        <f t="shared" si="7"/>
        <v>265</v>
      </c>
      <c r="J50" s="10">
        <f t="shared" si="8"/>
        <v>318</v>
      </c>
    </row>
    <row r="51">
      <c r="A51" s="1">
        <v>78.0</v>
      </c>
      <c r="B51" s="2">
        <v>107.0</v>
      </c>
      <c r="C51" s="9">
        <f t="shared" si="1"/>
        <v>54</v>
      </c>
      <c r="D51" s="9">
        <f t="shared" si="2"/>
        <v>27</v>
      </c>
      <c r="E51" s="9">
        <f t="shared" si="3"/>
        <v>11</v>
      </c>
      <c r="F51" s="9">
        <f t="shared" si="4"/>
        <v>1</v>
      </c>
      <c r="G51" s="10">
        <f t="shared" si="5"/>
        <v>161</v>
      </c>
      <c r="H51" s="10">
        <f t="shared" si="6"/>
        <v>214</v>
      </c>
      <c r="I51" s="10">
        <f t="shared" si="7"/>
        <v>268</v>
      </c>
      <c r="J51" s="10">
        <f t="shared" si="8"/>
        <v>321</v>
      </c>
    </row>
    <row r="52">
      <c r="A52" s="1">
        <v>90.0</v>
      </c>
      <c r="B52" s="1">
        <v>108.0</v>
      </c>
      <c r="C52" s="9">
        <f t="shared" si="1"/>
        <v>54</v>
      </c>
      <c r="D52" s="9">
        <f t="shared" si="2"/>
        <v>27</v>
      </c>
      <c r="E52" s="9">
        <f t="shared" si="3"/>
        <v>11</v>
      </c>
      <c r="F52" s="9">
        <f t="shared" si="4"/>
        <v>1</v>
      </c>
      <c r="G52" s="10">
        <f t="shared" si="5"/>
        <v>162</v>
      </c>
      <c r="H52" s="10">
        <f t="shared" si="6"/>
        <v>216</v>
      </c>
      <c r="I52" s="10">
        <f t="shared" si="7"/>
        <v>270</v>
      </c>
      <c r="J52" s="10">
        <f t="shared" si="8"/>
        <v>324</v>
      </c>
    </row>
    <row r="53">
      <c r="A53" s="1">
        <v>113.0</v>
      </c>
      <c r="B53" s="1">
        <v>109.0</v>
      </c>
      <c r="C53" s="9">
        <f t="shared" si="1"/>
        <v>55</v>
      </c>
      <c r="D53" s="9">
        <f t="shared" si="2"/>
        <v>27</v>
      </c>
      <c r="E53" s="9">
        <f t="shared" si="3"/>
        <v>11</v>
      </c>
      <c r="F53" s="9">
        <f t="shared" si="4"/>
        <v>1</v>
      </c>
      <c r="G53" s="10">
        <f t="shared" si="5"/>
        <v>164</v>
      </c>
      <c r="H53" s="10">
        <f t="shared" si="6"/>
        <v>218</v>
      </c>
      <c r="I53" s="10">
        <f t="shared" si="7"/>
        <v>273</v>
      </c>
      <c r="J53" s="10">
        <f t="shared" si="8"/>
        <v>327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63"/>
    <col customWidth="1" min="3" max="3" width="2.0"/>
    <col customWidth="1" min="4" max="49" width="3.13"/>
    <col customWidth="1" min="50" max="54" width="4.25"/>
  </cols>
  <sheetData>
    <row r="1">
      <c r="A1" s="11" t="s">
        <v>12</v>
      </c>
      <c r="B1" s="11">
        <v>-1.0</v>
      </c>
      <c r="C1" s="11">
        <v>0.0</v>
      </c>
      <c r="D1" s="11">
        <v>1.0</v>
      </c>
      <c r="E1" s="11">
        <v>2.0</v>
      </c>
      <c r="F1" s="11">
        <v>3.0</v>
      </c>
      <c r="G1" s="11">
        <v>4.0</v>
      </c>
      <c r="H1" s="11">
        <v>5.0</v>
      </c>
      <c r="I1" s="11">
        <v>6.0</v>
      </c>
      <c r="J1" s="11">
        <v>7.0</v>
      </c>
      <c r="K1" s="11">
        <v>8.0</v>
      </c>
      <c r="L1" s="11">
        <v>9.0</v>
      </c>
      <c r="M1" s="11">
        <v>10.0</v>
      </c>
      <c r="N1" s="11">
        <v>11.0</v>
      </c>
      <c r="O1" s="11">
        <v>12.0</v>
      </c>
      <c r="P1" s="11">
        <v>13.0</v>
      </c>
      <c r="Q1" s="11">
        <v>14.0</v>
      </c>
      <c r="R1" s="11">
        <v>15.0</v>
      </c>
      <c r="S1" s="11">
        <v>16.0</v>
      </c>
      <c r="T1" s="11">
        <v>17.0</v>
      </c>
      <c r="U1" s="11">
        <v>18.0</v>
      </c>
      <c r="V1" s="11">
        <v>19.0</v>
      </c>
      <c r="W1" s="11">
        <v>20.0</v>
      </c>
      <c r="X1" s="11">
        <v>21.0</v>
      </c>
      <c r="Y1" s="11">
        <v>22.0</v>
      </c>
      <c r="Z1" s="11">
        <v>23.0</v>
      </c>
      <c r="AA1" s="11">
        <v>24.0</v>
      </c>
      <c r="AB1" s="11">
        <v>25.0</v>
      </c>
      <c r="AC1" s="11">
        <v>26.0</v>
      </c>
      <c r="AD1" s="11">
        <v>27.0</v>
      </c>
      <c r="AE1" s="11">
        <v>28.0</v>
      </c>
      <c r="AF1" s="11">
        <v>29.0</v>
      </c>
      <c r="AG1" s="11">
        <v>30.0</v>
      </c>
      <c r="AH1" s="11">
        <v>32.0</v>
      </c>
      <c r="AI1" s="11">
        <v>33.0</v>
      </c>
      <c r="AJ1" s="11">
        <v>35.0</v>
      </c>
      <c r="AK1" s="11">
        <v>37.0</v>
      </c>
      <c r="AL1" s="11">
        <v>39.0</v>
      </c>
      <c r="AM1" s="11">
        <v>42.0</v>
      </c>
      <c r="AN1" s="11">
        <v>44.0</v>
      </c>
      <c r="AO1" s="11">
        <v>47.0</v>
      </c>
      <c r="AP1" s="11">
        <v>50.0</v>
      </c>
      <c r="AQ1" s="11">
        <v>54.0</v>
      </c>
      <c r="AR1" s="11">
        <v>58.0</v>
      </c>
      <c r="AS1" s="11">
        <v>64.0</v>
      </c>
      <c r="AT1" s="11">
        <v>70.0</v>
      </c>
      <c r="AU1" s="11">
        <v>77.0</v>
      </c>
      <c r="AV1" s="11">
        <v>86.0</v>
      </c>
      <c r="AW1" s="11">
        <v>97.0</v>
      </c>
      <c r="AX1" s="11">
        <v>111.0</v>
      </c>
      <c r="AY1" s="11">
        <v>131.0</v>
      </c>
      <c r="AZ1" s="11">
        <v>158.0</v>
      </c>
      <c r="BA1" s="11">
        <v>200.0</v>
      </c>
      <c r="BB1" s="11">
        <v>273.0</v>
      </c>
    </row>
    <row r="2">
      <c r="A2" s="2" t="s">
        <v>1</v>
      </c>
      <c r="B2" s="2">
        <v>1.210200857266</v>
      </c>
      <c r="C2" s="2">
        <v>6.0</v>
      </c>
      <c r="D2" s="2">
        <v>10.78979914273</v>
      </c>
      <c r="E2" s="2">
        <v>15.51931573118</v>
      </c>
      <c r="F2" s="2">
        <v>20.13269884325</v>
      </c>
      <c r="G2" s="2">
        <v>24.58217667255</v>
      </c>
      <c r="H2" s="2">
        <v>28.83038262674</v>
      </c>
      <c r="I2" s="2">
        <v>32.85119850943</v>
      </c>
      <c r="J2" s="2">
        <v>36.62929931501</v>
      </c>
      <c r="K2" s="2">
        <v>40.15879146604</v>
      </c>
      <c r="L2" s="2">
        <v>43.44138317861</v>
      </c>
      <c r="M2" s="2">
        <v>46.48445653341</v>
      </c>
      <c r="N2" s="2">
        <v>49.29929105189</v>
      </c>
      <c r="O2" s="2">
        <v>51.89956996265</v>
      </c>
      <c r="P2" s="2">
        <v>54.30020965528</v>
      </c>
      <c r="Q2" s="2">
        <v>56.51649602054</v>
      </c>
      <c r="R2" s="2">
        <v>58.56348303589</v>
      </c>
      <c r="S2" s="2">
        <v>60.45560004533</v>
      </c>
      <c r="T2" s="2">
        <v>62.20641642789</v>
      </c>
      <c r="U2" s="2">
        <v>63.82851976491</v>
      </c>
      <c r="V2" s="2">
        <v>65.3334725193</v>
      </c>
      <c r="W2" s="2">
        <v>66.73182068708</v>
      </c>
      <c r="X2" s="2">
        <v>68.03313504329</v>
      </c>
      <c r="Y2" s="2">
        <v>69.24607128196</v>
      </c>
      <c r="Z2" s="2">
        <v>70.37843965067</v>
      </c>
      <c r="AA2" s="2">
        <v>71.43727783148</v>
      </c>
      <c r="AB2" s="2">
        <v>72.42892306765</v>
      </c>
      <c r="AC2" s="2">
        <v>73.35908110315</v>
      </c>
      <c r="AD2" s="2">
        <v>74.23289057059</v>
      </c>
      <c r="AE2" s="2">
        <v>75.05498217536</v>
      </c>
      <c r="AF2" s="2">
        <v>75.82953248557</v>
      </c>
      <c r="AG2" s="2">
        <v>76.56031242571</v>
      </c>
      <c r="AH2" s="2">
        <v>77.90387280709</v>
      </c>
      <c r="AI2" s="2">
        <v>78.52253514607</v>
      </c>
      <c r="AJ2" s="2">
        <v>79.66634318245</v>
      </c>
      <c r="AK2" s="2">
        <v>80.69983269133</v>
      </c>
      <c r="AL2" s="2">
        <v>81.63769596041</v>
      </c>
      <c r="AM2" s="2">
        <v>82.89151927115</v>
      </c>
      <c r="AN2" s="2">
        <v>83.63989008977</v>
      </c>
      <c r="AO2" s="2">
        <v>84.65137119638</v>
      </c>
      <c r="AP2" s="2">
        <v>85.54905982008</v>
      </c>
      <c r="AQ2" s="2">
        <v>86.59928077932</v>
      </c>
      <c r="AR2" s="2">
        <v>87.51154986473</v>
      </c>
      <c r="AS2" s="2">
        <v>88.67472087222</v>
      </c>
      <c r="AT2" s="2">
        <v>89.64524824349</v>
      </c>
      <c r="AU2" s="2">
        <v>90.59175525232</v>
      </c>
      <c r="AV2" s="2">
        <v>91.58749608532</v>
      </c>
      <c r="AW2" s="2">
        <v>92.55819948915</v>
      </c>
      <c r="AX2" s="2">
        <v>93.51936963531</v>
      </c>
      <c r="AY2" s="2">
        <v>94.53987031082</v>
      </c>
      <c r="AZ2" s="1">
        <v>96.0</v>
      </c>
      <c r="BA2" s="1">
        <v>97.0</v>
      </c>
      <c r="BB2" s="1">
        <v>98.0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</row>
    <row r="2">
      <c r="A2" s="12" t="s">
        <v>27</v>
      </c>
    </row>
    <row r="3">
      <c r="B3" s="12" t="s">
        <v>28</v>
      </c>
    </row>
    <row r="4">
      <c r="B4" s="12" t="s">
        <v>29</v>
      </c>
    </row>
    <row r="5">
      <c r="B5" s="12" t="s">
        <v>30</v>
      </c>
    </row>
    <row r="6">
      <c r="B6" s="12" t="s">
        <v>31</v>
      </c>
    </row>
    <row r="7">
      <c r="B7" s="12" t="s">
        <v>32</v>
      </c>
    </row>
    <row r="8">
      <c r="B8" s="12" t="s">
        <v>33</v>
      </c>
    </row>
    <row r="9">
      <c r="B9" s="12" t="s">
        <v>34</v>
      </c>
    </row>
    <row r="11">
      <c r="A11" s="12" t="s">
        <v>35</v>
      </c>
    </row>
    <row r="12">
      <c r="B12" s="12" t="s">
        <v>28</v>
      </c>
    </row>
    <row r="13">
      <c r="B13" s="12" t="s">
        <v>29</v>
      </c>
    </row>
    <row r="14">
      <c r="B14" s="12" t="s">
        <v>30</v>
      </c>
    </row>
    <row r="15">
      <c r="B15" s="12" t="s">
        <v>31</v>
      </c>
    </row>
    <row r="16">
      <c r="B16" s="12" t="s">
        <v>32</v>
      </c>
    </row>
    <row r="17">
      <c r="B17" s="12" t="s">
        <v>33</v>
      </c>
    </row>
    <row r="18">
      <c r="B18" s="12" t="s">
        <v>34</v>
      </c>
    </row>
    <row r="20">
      <c r="A20" s="12" t="s">
        <v>36</v>
      </c>
    </row>
    <row r="28">
      <c r="A28" s="12" t="s">
        <v>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9.88"/>
    <col customWidth="1" min="3" max="3" width="5.75"/>
    <col customWidth="1" min="4" max="4" width="4.63"/>
    <col customWidth="1" min="5" max="5" width="5.63"/>
    <col customWidth="1" min="6" max="6" width="6.13"/>
  </cols>
  <sheetData>
    <row r="1">
      <c r="A1" s="13" t="s">
        <v>12</v>
      </c>
      <c r="B1" s="13" t="s">
        <v>38</v>
      </c>
      <c r="D1" s="14" t="s">
        <v>12</v>
      </c>
      <c r="E1" s="15" t="s">
        <v>39</v>
      </c>
      <c r="H1" s="16"/>
    </row>
    <row r="2">
      <c r="A2" s="17">
        <v>1.0</v>
      </c>
      <c r="B2" s="17">
        <v>3.0</v>
      </c>
      <c r="D2">
        <f t="shared" ref="D2:D137" si="1">ROW()-1</f>
        <v>1</v>
      </c>
      <c r="E2" s="16">
        <f t="shared" ref="E2:E137" si="2">ROUND($B$13-($B$14/($B$15 +pow(D2/$B$16,2.351477))),0)</f>
        <v>11</v>
      </c>
      <c r="H2" s="16"/>
    </row>
    <row r="3">
      <c r="A3" s="17">
        <v>11.0</v>
      </c>
      <c r="B3" s="17">
        <v>40.0</v>
      </c>
      <c r="D3">
        <f t="shared" si="1"/>
        <v>2</v>
      </c>
      <c r="E3" s="16">
        <f t="shared" si="2"/>
        <v>11</v>
      </c>
      <c r="H3" s="16"/>
    </row>
    <row r="4">
      <c r="A4" s="17">
        <v>21.0</v>
      </c>
      <c r="B4" s="17">
        <v>60.0</v>
      </c>
      <c r="D4">
        <f t="shared" si="1"/>
        <v>3</v>
      </c>
      <c r="E4" s="16">
        <f t="shared" si="2"/>
        <v>12</v>
      </c>
      <c r="H4" s="16"/>
    </row>
    <row r="5">
      <c r="A5" s="17">
        <v>31.0</v>
      </c>
      <c r="B5" s="17">
        <v>80.0</v>
      </c>
      <c r="D5">
        <f t="shared" si="1"/>
        <v>4</v>
      </c>
      <c r="E5" s="16">
        <f t="shared" si="2"/>
        <v>13</v>
      </c>
      <c r="H5" s="16"/>
    </row>
    <row r="6">
      <c r="A6" s="17">
        <v>41.0</v>
      </c>
      <c r="B6" s="17">
        <v>90.0</v>
      </c>
      <c r="D6">
        <f t="shared" si="1"/>
        <v>5</v>
      </c>
      <c r="E6" s="16">
        <f t="shared" si="2"/>
        <v>15</v>
      </c>
      <c r="H6" s="16"/>
    </row>
    <row r="7">
      <c r="A7" s="17">
        <v>51.0</v>
      </c>
      <c r="B7" s="17">
        <v>95.0</v>
      </c>
      <c r="D7">
        <f t="shared" si="1"/>
        <v>6</v>
      </c>
      <c r="E7" s="16">
        <f t="shared" si="2"/>
        <v>17</v>
      </c>
      <c r="H7" s="16"/>
    </row>
    <row r="8">
      <c r="A8" s="17">
        <v>61.0</v>
      </c>
      <c r="B8" s="17">
        <v>98.0</v>
      </c>
      <c r="D8">
        <f t="shared" si="1"/>
        <v>7</v>
      </c>
      <c r="E8" s="16">
        <f t="shared" si="2"/>
        <v>19</v>
      </c>
      <c r="H8" s="16"/>
    </row>
    <row r="9">
      <c r="A9" s="17">
        <v>100.0</v>
      </c>
      <c r="B9" s="17">
        <v>99.0</v>
      </c>
      <c r="D9">
        <f t="shared" si="1"/>
        <v>8</v>
      </c>
      <c r="E9" s="16">
        <f t="shared" si="2"/>
        <v>22</v>
      </c>
      <c r="H9" s="16"/>
    </row>
    <row r="10">
      <c r="D10">
        <f t="shared" si="1"/>
        <v>9</v>
      </c>
      <c r="E10" s="16">
        <f t="shared" si="2"/>
        <v>25</v>
      </c>
      <c r="H10" s="16"/>
    </row>
    <row r="11">
      <c r="D11" s="18">
        <f t="shared" si="1"/>
        <v>10</v>
      </c>
      <c r="E11" s="19">
        <f t="shared" si="2"/>
        <v>29</v>
      </c>
      <c r="H11" s="16"/>
    </row>
    <row r="12">
      <c r="A12" s="17" t="s">
        <v>39</v>
      </c>
      <c r="B12" s="20"/>
      <c r="D12">
        <f t="shared" si="1"/>
        <v>11</v>
      </c>
      <c r="E12" s="16">
        <f t="shared" si="2"/>
        <v>32</v>
      </c>
      <c r="H12" s="16"/>
    </row>
    <row r="13">
      <c r="A13" s="17" t="s">
        <v>40</v>
      </c>
      <c r="B13" s="17">
        <v>110.0</v>
      </c>
      <c r="D13">
        <f t="shared" si="1"/>
        <v>12</v>
      </c>
      <c r="E13" s="16">
        <f t="shared" si="2"/>
        <v>36</v>
      </c>
      <c r="H13" s="16"/>
    </row>
    <row r="14">
      <c r="A14" s="17" t="s">
        <v>41</v>
      </c>
      <c r="B14" s="17">
        <v>99.4</v>
      </c>
      <c r="D14">
        <f t="shared" si="1"/>
        <v>13</v>
      </c>
      <c r="E14" s="16">
        <f t="shared" si="2"/>
        <v>39</v>
      </c>
      <c r="H14" s="16"/>
    </row>
    <row r="15">
      <c r="A15" s="17" t="s">
        <v>42</v>
      </c>
      <c r="B15" s="17">
        <v>1.0</v>
      </c>
      <c r="D15">
        <f t="shared" si="1"/>
        <v>14</v>
      </c>
      <c r="E15" s="16">
        <f t="shared" si="2"/>
        <v>43</v>
      </c>
      <c r="H15" s="16"/>
    </row>
    <row r="16">
      <c r="A16" s="17" t="s">
        <v>43</v>
      </c>
      <c r="B16" s="17">
        <v>19.0</v>
      </c>
      <c r="D16">
        <f t="shared" si="1"/>
        <v>15</v>
      </c>
      <c r="E16" s="16">
        <f t="shared" si="2"/>
        <v>47</v>
      </c>
      <c r="H16" s="16"/>
    </row>
    <row r="17">
      <c r="A17" s="17" t="s">
        <v>44</v>
      </c>
      <c r="B17" s="17">
        <v>2.351477</v>
      </c>
      <c r="D17">
        <f t="shared" si="1"/>
        <v>16</v>
      </c>
      <c r="E17" s="16">
        <f t="shared" si="2"/>
        <v>50</v>
      </c>
      <c r="H17" s="16"/>
    </row>
    <row r="18">
      <c r="D18">
        <f t="shared" si="1"/>
        <v>17</v>
      </c>
      <c r="E18" s="16">
        <f t="shared" si="2"/>
        <v>54</v>
      </c>
      <c r="H18" s="16"/>
    </row>
    <row r="19">
      <c r="D19">
        <f t="shared" si="1"/>
        <v>18</v>
      </c>
      <c r="E19" s="16">
        <f t="shared" si="2"/>
        <v>57</v>
      </c>
      <c r="H19" s="16"/>
    </row>
    <row r="20">
      <c r="D20">
        <f t="shared" si="1"/>
        <v>19</v>
      </c>
      <c r="E20" s="16">
        <f t="shared" si="2"/>
        <v>60</v>
      </c>
      <c r="H20" s="16"/>
    </row>
    <row r="21">
      <c r="D21" s="18">
        <f t="shared" si="1"/>
        <v>20</v>
      </c>
      <c r="E21" s="19">
        <f t="shared" si="2"/>
        <v>63</v>
      </c>
      <c r="H21" s="16"/>
    </row>
    <row r="22">
      <c r="D22">
        <f t="shared" si="1"/>
        <v>21</v>
      </c>
      <c r="E22" s="16">
        <f t="shared" si="2"/>
        <v>66</v>
      </c>
      <c r="H22" s="16"/>
    </row>
    <row r="23">
      <c r="D23">
        <f t="shared" si="1"/>
        <v>22</v>
      </c>
      <c r="E23" s="16">
        <f t="shared" si="2"/>
        <v>69</v>
      </c>
      <c r="H23" s="16"/>
    </row>
    <row r="24">
      <c r="D24">
        <f t="shared" si="1"/>
        <v>23</v>
      </c>
      <c r="E24" s="16">
        <f t="shared" si="2"/>
        <v>71</v>
      </c>
      <c r="H24" s="16"/>
    </row>
    <row r="25">
      <c r="D25">
        <f t="shared" si="1"/>
        <v>24</v>
      </c>
      <c r="E25" s="16">
        <f t="shared" si="2"/>
        <v>74</v>
      </c>
      <c r="H25" s="16"/>
    </row>
    <row r="26">
      <c r="D26">
        <f t="shared" si="1"/>
        <v>25</v>
      </c>
      <c r="E26" s="16">
        <f t="shared" si="2"/>
        <v>76</v>
      </c>
      <c r="H26" s="16"/>
    </row>
    <row r="27">
      <c r="D27">
        <f t="shared" si="1"/>
        <v>26</v>
      </c>
      <c r="E27" s="16">
        <f t="shared" si="2"/>
        <v>78</v>
      </c>
      <c r="H27" s="16"/>
    </row>
    <row r="28">
      <c r="D28">
        <f t="shared" si="1"/>
        <v>27</v>
      </c>
      <c r="E28" s="16">
        <f t="shared" si="2"/>
        <v>80</v>
      </c>
      <c r="H28" s="16"/>
    </row>
    <row r="29">
      <c r="D29">
        <f t="shared" si="1"/>
        <v>28</v>
      </c>
      <c r="E29" s="16">
        <f t="shared" si="2"/>
        <v>82</v>
      </c>
      <c r="H29" s="16"/>
    </row>
    <row r="30">
      <c r="D30">
        <f t="shared" si="1"/>
        <v>29</v>
      </c>
      <c r="E30" s="16">
        <f t="shared" si="2"/>
        <v>83</v>
      </c>
      <c r="H30" s="16"/>
    </row>
    <row r="31">
      <c r="D31" s="18">
        <f t="shared" si="1"/>
        <v>30</v>
      </c>
      <c r="E31" s="19">
        <f t="shared" si="2"/>
        <v>85</v>
      </c>
      <c r="H31" s="16"/>
    </row>
    <row r="32">
      <c r="D32">
        <f t="shared" si="1"/>
        <v>31</v>
      </c>
      <c r="E32" s="16">
        <f t="shared" si="2"/>
        <v>86</v>
      </c>
      <c r="H32" s="16"/>
    </row>
    <row r="33">
      <c r="D33">
        <f t="shared" si="1"/>
        <v>32</v>
      </c>
      <c r="E33" s="16">
        <f t="shared" si="2"/>
        <v>87</v>
      </c>
      <c r="H33" s="16"/>
    </row>
    <row r="34">
      <c r="D34">
        <f t="shared" si="1"/>
        <v>33</v>
      </c>
      <c r="E34" s="16">
        <f t="shared" si="2"/>
        <v>89</v>
      </c>
      <c r="H34" s="16"/>
    </row>
    <row r="35">
      <c r="D35">
        <f t="shared" si="1"/>
        <v>34</v>
      </c>
      <c r="E35" s="16">
        <f t="shared" si="2"/>
        <v>90</v>
      </c>
      <c r="H35" s="16"/>
    </row>
    <row r="36">
      <c r="D36">
        <f t="shared" si="1"/>
        <v>35</v>
      </c>
      <c r="E36" s="16">
        <f t="shared" si="2"/>
        <v>91</v>
      </c>
      <c r="H36" s="16"/>
    </row>
    <row r="37">
      <c r="D37">
        <f t="shared" si="1"/>
        <v>36</v>
      </c>
      <c r="E37" s="16">
        <f t="shared" si="2"/>
        <v>92</v>
      </c>
      <c r="H37" s="16"/>
    </row>
    <row r="38">
      <c r="D38">
        <f t="shared" si="1"/>
        <v>37</v>
      </c>
      <c r="E38" s="16">
        <f t="shared" si="2"/>
        <v>93</v>
      </c>
    </row>
    <row r="39">
      <c r="D39">
        <f t="shared" si="1"/>
        <v>38</v>
      </c>
      <c r="E39" s="16">
        <f t="shared" si="2"/>
        <v>94</v>
      </c>
      <c r="H39" s="16"/>
    </row>
    <row r="40">
      <c r="D40">
        <f t="shared" si="1"/>
        <v>39</v>
      </c>
      <c r="E40" s="16">
        <f t="shared" si="2"/>
        <v>95</v>
      </c>
      <c r="H40" s="16"/>
    </row>
    <row r="41">
      <c r="D41" s="18">
        <f t="shared" si="1"/>
        <v>40</v>
      </c>
      <c r="E41" s="19">
        <f t="shared" si="2"/>
        <v>95</v>
      </c>
      <c r="H41" s="16"/>
    </row>
    <row r="42">
      <c r="D42">
        <f t="shared" si="1"/>
        <v>41</v>
      </c>
      <c r="E42" s="16">
        <f t="shared" si="2"/>
        <v>96</v>
      </c>
      <c r="H42" s="16"/>
    </row>
    <row r="43">
      <c r="D43">
        <f t="shared" si="1"/>
        <v>42</v>
      </c>
      <c r="E43" s="16">
        <f t="shared" si="2"/>
        <v>97</v>
      </c>
      <c r="H43" s="16"/>
    </row>
    <row r="44">
      <c r="D44">
        <f t="shared" si="1"/>
        <v>43</v>
      </c>
      <c r="E44" s="16">
        <f t="shared" si="2"/>
        <v>97</v>
      </c>
      <c r="H44" s="16"/>
    </row>
    <row r="45">
      <c r="D45">
        <f t="shared" si="1"/>
        <v>44</v>
      </c>
      <c r="E45" s="16">
        <f t="shared" si="2"/>
        <v>98</v>
      </c>
      <c r="H45" s="16"/>
    </row>
    <row r="46">
      <c r="D46">
        <f t="shared" si="1"/>
        <v>45</v>
      </c>
      <c r="E46" s="16">
        <f t="shared" si="2"/>
        <v>98</v>
      </c>
      <c r="H46" s="16"/>
    </row>
    <row r="47">
      <c r="D47">
        <f t="shared" si="1"/>
        <v>46</v>
      </c>
      <c r="E47" s="16">
        <f t="shared" si="2"/>
        <v>99</v>
      </c>
    </row>
    <row r="48">
      <c r="D48">
        <f t="shared" si="1"/>
        <v>47</v>
      </c>
      <c r="E48" s="16">
        <f t="shared" si="2"/>
        <v>99</v>
      </c>
      <c r="H48" s="16"/>
    </row>
    <row r="49">
      <c r="D49">
        <f t="shared" si="1"/>
        <v>48</v>
      </c>
      <c r="E49" s="16">
        <f t="shared" si="2"/>
        <v>100</v>
      </c>
      <c r="H49" s="16"/>
    </row>
    <row r="50">
      <c r="D50">
        <f t="shared" si="1"/>
        <v>49</v>
      </c>
      <c r="E50" s="16">
        <f t="shared" si="2"/>
        <v>100</v>
      </c>
      <c r="H50" s="16"/>
    </row>
    <row r="51">
      <c r="D51" s="18">
        <f t="shared" si="1"/>
        <v>50</v>
      </c>
      <c r="E51" s="19">
        <f t="shared" si="2"/>
        <v>101</v>
      </c>
      <c r="H51" s="16"/>
    </row>
    <row r="52">
      <c r="D52">
        <f t="shared" si="1"/>
        <v>51</v>
      </c>
      <c r="E52" s="16">
        <f t="shared" si="2"/>
        <v>101</v>
      </c>
      <c r="H52" s="16"/>
    </row>
    <row r="53">
      <c r="D53">
        <f t="shared" si="1"/>
        <v>52</v>
      </c>
      <c r="E53" s="16">
        <f t="shared" si="2"/>
        <v>101</v>
      </c>
      <c r="H53" s="16"/>
    </row>
    <row r="54">
      <c r="D54">
        <f t="shared" si="1"/>
        <v>53</v>
      </c>
      <c r="E54" s="16">
        <f t="shared" si="2"/>
        <v>102</v>
      </c>
      <c r="H54" s="16"/>
    </row>
    <row r="55">
      <c r="D55">
        <f t="shared" si="1"/>
        <v>54</v>
      </c>
      <c r="E55" s="16">
        <f t="shared" si="2"/>
        <v>102</v>
      </c>
      <c r="H55" s="16"/>
    </row>
    <row r="56">
      <c r="D56">
        <f t="shared" si="1"/>
        <v>55</v>
      </c>
      <c r="E56" s="16">
        <f t="shared" si="2"/>
        <v>102</v>
      </c>
      <c r="H56" s="16"/>
    </row>
    <row r="57">
      <c r="D57">
        <f t="shared" si="1"/>
        <v>56</v>
      </c>
      <c r="E57" s="16">
        <f t="shared" si="2"/>
        <v>103</v>
      </c>
      <c r="H57" s="16"/>
    </row>
    <row r="58">
      <c r="D58">
        <f t="shared" si="1"/>
        <v>57</v>
      </c>
      <c r="E58" s="16">
        <f t="shared" si="2"/>
        <v>103</v>
      </c>
      <c r="H58" s="16"/>
    </row>
    <row r="59">
      <c r="D59">
        <f t="shared" si="1"/>
        <v>58</v>
      </c>
      <c r="E59" s="16">
        <f t="shared" si="2"/>
        <v>103</v>
      </c>
      <c r="H59" s="16"/>
    </row>
    <row r="60">
      <c r="D60">
        <f t="shared" si="1"/>
        <v>59</v>
      </c>
      <c r="E60" s="16">
        <f t="shared" si="2"/>
        <v>104</v>
      </c>
      <c r="H60" s="16"/>
    </row>
    <row r="61">
      <c r="D61" s="18">
        <f t="shared" si="1"/>
        <v>60</v>
      </c>
      <c r="E61" s="19">
        <f t="shared" si="2"/>
        <v>104</v>
      </c>
      <c r="H61" s="16"/>
    </row>
    <row r="62">
      <c r="D62">
        <f t="shared" si="1"/>
        <v>61</v>
      </c>
      <c r="E62" s="16">
        <f t="shared" si="2"/>
        <v>104</v>
      </c>
      <c r="H62" s="16"/>
    </row>
    <row r="63">
      <c r="D63">
        <f t="shared" si="1"/>
        <v>62</v>
      </c>
      <c r="E63" s="16">
        <f t="shared" si="2"/>
        <v>104</v>
      </c>
      <c r="H63" s="16"/>
    </row>
    <row r="64">
      <c r="D64">
        <f t="shared" si="1"/>
        <v>63</v>
      </c>
      <c r="E64" s="16">
        <f t="shared" si="2"/>
        <v>104</v>
      </c>
      <c r="H64" s="16"/>
    </row>
    <row r="65">
      <c r="D65">
        <f t="shared" si="1"/>
        <v>64</v>
      </c>
      <c r="E65" s="16">
        <f t="shared" si="2"/>
        <v>105</v>
      </c>
      <c r="H65" s="16"/>
    </row>
    <row r="66">
      <c r="D66">
        <f t="shared" si="1"/>
        <v>65</v>
      </c>
      <c r="E66" s="16">
        <f t="shared" si="2"/>
        <v>105</v>
      </c>
      <c r="H66" s="16"/>
    </row>
    <row r="67">
      <c r="D67">
        <f t="shared" si="1"/>
        <v>66</v>
      </c>
      <c r="E67" s="16">
        <f t="shared" si="2"/>
        <v>105</v>
      </c>
      <c r="H67" s="16"/>
    </row>
    <row r="68">
      <c r="D68">
        <f t="shared" si="1"/>
        <v>67</v>
      </c>
      <c r="E68" s="16">
        <f t="shared" si="2"/>
        <v>105</v>
      </c>
      <c r="H68" s="16"/>
    </row>
    <row r="69">
      <c r="D69">
        <f t="shared" si="1"/>
        <v>68</v>
      </c>
      <c r="E69" s="16">
        <f t="shared" si="2"/>
        <v>105</v>
      </c>
      <c r="H69" s="16"/>
    </row>
    <row r="70">
      <c r="D70">
        <f t="shared" si="1"/>
        <v>69</v>
      </c>
      <c r="E70" s="16">
        <f t="shared" si="2"/>
        <v>105</v>
      </c>
      <c r="H70" s="16"/>
    </row>
    <row r="71">
      <c r="D71">
        <f t="shared" si="1"/>
        <v>70</v>
      </c>
      <c r="E71" s="16">
        <f t="shared" si="2"/>
        <v>106</v>
      </c>
      <c r="H71" s="16"/>
    </row>
    <row r="72">
      <c r="D72">
        <f t="shared" si="1"/>
        <v>71</v>
      </c>
      <c r="E72" s="16">
        <f t="shared" si="2"/>
        <v>106</v>
      </c>
      <c r="H72" s="16"/>
    </row>
    <row r="73">
      <c r="D73">
        <f t="shared" si="1"/>
        <v>72</v>
      </c>
      <c r="E73" s="16">
        <f t="shared" si="2"/>
        <v>106</v>
      </c>
      <c r="H73" s="16"/>
    </row>
    <row r="74">
      <c r="D74">
        <f t="shared" si="1"/>
        <v>73</v>
      </c>
      <c r="E74" s="16">
        <f t="shared" si="2"/>
        <v>106</v>
      </c>
      <c r="H74" s="16"/>
    </row>
    <row r="75">
      <c r="D75">
        <f t="shared" si="1"/>
        <v>74</v>
      </c>
      <c r="E75" s="16">
        <f t="shared" si="2"/>
        <v>106</v>
      </c>
      <c r="H75" s="16"/>
    </row>
    <row r="76">
      <c r="D76">
        <f t="shared" si="1"/>
        <v>75</v>
      </c>
      <c r="E76" s="16">
        <f t="shared" si="2"/>
        <v>106</v>
      </c>
      <c r="H76" s="16"/>
    </row>
    <row r="77">
      <c r="D77">
        <f t="shared" si="1"/>
        <v>76</v>
      </c>
      <c r="E77" s="16">
        <f t="shared" si="2"/>
        <v>106</v>
      </c>
      <c r="H77" s="16"/>
    </row>
    <row r="78">
      <c r="D78">
        <f t="shared" si="1"/>
        <v>77</v>
      </c>
      <c r="E78" s="16">
        <f t="shared" si="2"/>
        <v>106</v>
      </c>
      <c r="H78" s="16"/>
    </row>
    <row r="79">
      <c r="D79">
        <f t="shared" si="1"/>
        <v>78</v>
      </c>
      <c r="E79" s="16">
        <f t="shared" si="2"/>
        <v>107</v>
      </c>
      <c r="H79" s="16"/>
    </row>
    <row r="80">
      <c r="D80">
        <f t="shared" si="1"/>
        <v>79</v>
      </c>
      <c r="E80" s="16">
        <f t="shared" si="2"/>
        <v>107</v>
      </c>
      <c r="H80" s="16"/>
    </row>
    <row r="81">
      <c r="D81">
        <f t="shared" si="1"/>
        <v>80</v>
      </c>
      <c r="E81" s="16">
        <f t="shared" si="2"/>
        <v>107</v>
      </c>
      <c r="H81" s="16"/>
    </row>
    <row r="82">
      <c r="D82">
        <f t="shared" si="1"/>
        <v>81</v>
      </c>
      <c r="E82" s="16">
        <f t="shared" si="2"/>
        <v>107</v>
      </c>
      <c r="H82" s="16"/>
    </row>
    <row r="83">
      <c r="D83">
        <f t="shared" si="1"/>
        <v>82</v>
      </c>
      <c r="E83" s="16">
        <f t="shared" si="2"/>
        <v>107</v>
      </c>
      <c r="H83" s="16"/>
    </row>
    <row r="84">
      <c r="D84">
        <f t="shared" si="1"/>
        <v>83</v>
      </c>
      <c r="E84" s="16">
        <f t="shared" si="2"/>
        <v>107</v>
      </c>
      <c r="H84" s="16"/>
    </row>
    <row r="85">
      <c r="D85">
        <f t="shared" si="1"/>
        <v>84</v>
      </c>
      <c r="E85" s="16">
        <f t="shared" si="2"/>
        <v>107</v>
      </c>
      <c r="H85" s="16"/>
    </row>
    <row r="86">
      <c r="D86">
        <f t="shared" si="1"/>
        <v>85</v>
      </c>
      <c r="E86" s="16">
        <f t="shared" si="2"/>
        <v>107</v>
      </c>
      <c r="H86" s="16"/>
    </row>
    <row r="87">
      <c r="D87">
        <f t="shared" si="1"/>
        <v>86</v>
      </c>
      <c r="E87" s="16">
        <f t="shared" si="2"/>
        <v>107</v>
      </c>
      <c r="H87" s="16"/>
    </row>
    <row r="88">
      <c r="D88">
        <f t="shared" si="1"/>
        <v>87</v>
      </c>
      <c r="E88" s="16">
        <f t="shared" si="2"/>
        <v>107</v>
      </c>
      <c r="H88" s="16"/>
    </row>
    <row r="89">
      <c r="D89">
        <f t="shared" si="1"/>
        <v>88</v>
      </c>
      <c r="E89" s="16">
        <f t="shared" si="2"/>
        <v>107</v>
      </c>
      <c r="H89" s="16"/>
    </row>
    <row r="90">
      <c r="D90">
        <f t="shared" si="1"/>
        <v>89</v>
      </c>
      <c r="E90" s="16">
        <f t="shared" si="2"/>
        <v>107</v>
      </c>
      <c r="H90" s="16"/>
    </row>
    <row r="91">
      <c r="D91">
        <f t="shared" si="1"/>
        <v>90</v>
      </c>
      <c r="E91" s="16">
        <f t="shared" si="2"/>
        <v>108</v>
      </c>
      <c r="H91" s="16"/>
    </row>
    <row r="92">
      <c r="D92">
        <f t="shared" si="1"/>
        <v>91</v>
      </c>
      <c r="E92" s="16">
        <f t="shared" si="2"/>
        <v>108</v>
      </c>
      <c r="H92" s="16"/>
    </row>
    <row r="93">
      <c r="D93">
        <f t="shared" si="1"/>
        <v>92</v>
      </c>
      <c r="E93" s="16">
        <f t="shared" si="2"/>
        <v>108</v>
      </c>
      <c r="H93" s="16"/>
    </row>
    <row r="94">
      <c r="D94">
        <f t="shared" si="1"/>
        <v>93</v>
      </c>
      <c r="E94" s="16">
        <f t="shared" si="2"/>
        <v>108</v>
      </c>
      <c r="H94" s="16"/>
    </row>
    <row r="95">
      <c r="D95">
        <f t="shared" si="1"/>
        <v>94</v>
      </c>
      <c r="E95" s="16">
        <f t="shared" si="2"/>
        <v>108</v>
      </c>
      <c r="H95" s="16"/>
    </row>
    <row r="96">
      <c r="D96">
        <f t="shared" si="1"/>
        <v>95</v>
      </c>
      <c r="E96" s="16">
        <f t="shared" si="2"/>
        <v>108</v>
      </c>
      <c r="H96" s="16"/>
    </row>
    <row r="97">
      <c r="D97">
        <f t="shared" si="1"/>
        <v>96</v>
      </c>
      <c r="E97" s="16">
        <f t="shared" si="2"/>
        <v>108</v>
      </c>
      <c r="H97" s="16"/>
    </row>
    <row r="98">
      <c r="D98">
        <f t="shared" si="1"/>
        <v>97</v>
      </c>
      <c r="E98" s="16">
        <f t="shared" si="2"/>
        <v>108</v>
      </c>
      <c r="H98" s="16"/>
    </row>
    <row r="99">
      <c r="D99">
        <f t="shared" si="1"/>
        <v>98</v>
      </c>
      <c r="E99" s="16">
        <f t="shared" si="2"/>
        <v>108</v>
      </c>
      <c r="H99" s="16"/>
    </row>
    <row r="100">
      <c r="D100">
        <f t="shared" si="1"/>
        <v>99</v>
      </c>
      <c r="E100" s="16">
        <f t="shared" si="2"/>
        <v>108</v>
      </c>
      <c r="H100" s="16"/>
    </row>
    <row r="101">
      <c r="D101">
        <f t="shared" si="1"/>
        <v>100</v>
      </c>
      <c r="E101" s="16">
        <f t="shared" si="2"/>
        <v>108</v>
      </c>
      <c r="H101" s="16"/>
    </row>
    <row r="102">
      <c r="D102">
        <f t="shared" si="1"/>
        <v>101</v>
      </c>
      <c r="E102" s="16">
        <f t="shared" si="2"/>
        <v>108</v>
      </c>
      <c r="H102" s="16"/>
    </row>
    <row r="103">
      <c r="D103">
        <f t="shared" si="1"/>
        <v>102</v>
      </c>
      <c r="E103" s="16">
        <f t="shared" si="2"/>
        <v>108</v>
      </c>
      <c r="H103" s="16"/>
    </row>
    <row r="104">
      <c r="D104">
        <f t="shared" si="1"/>
        <v>103</v>
      </c>
      <c r="E104" s="16">
        <f t="shared" si="2"/>
        <v>108</v>
      </c>
      <c r="H104" s="16"/>
    </row>
    <row r="105">
      <c r="D105">
        <f t="shared" si="1"/>
        <v>104</v>
      </c>
      <c r="E105" s="16">
        <f t="shared" si="2"/>
        <v>108</v>
      </c>
      <c r="H105" s="16"/>
    </row>
    <row r="106">
      <c r="D106">
        <f t="shared" si="1"/>
        <v>105</v>
      </c>
      <c r="E106" s="16">
        <f t="shared" si="2"/>
        <v>108</v>
      </c>
      <c r="H106" s="16"/>
    </row>
    <row r="107">
      <c r="D107">
        <f t="shared" si="1"/>
        <v>106</v>
      </c>
      <c r="E107" s="16">
        <f t="shared" si="2"/>
        <v>108</v>
      </c>
      <c r="H107" s="16"/>
    </row>
    <row r="108">
      <c r="D108">
        <f t="shared" si="1"/>
        <v>107</v>
      </c>
      <c r="E108" s="16">
        <f t="shared" si="2"/>
        <v>108</v>
      </c>
      <c r="H108" s="16"/>
    </row>
    <row r="109">
      <c r="D109">
        <f t="shared" si="1"/>
        <v>108</v>
      </c>
      <c r="E109" s="16">
        <f t="shared" si="2"/>
        <v>108</v>
      </c>
      <c r="H109" s="16"/>
    </row>
    <row r="110">
      <c r="D110">
        <f t="shared" si="1"/>
        <v>109</v>
      </c>
      <c r="E110" s="16">
        <f t="shared" si="2"/>
        <v>108</v>
      </c>
      <c r="H110" s="16"/>
    </row>
    <row r="111">
      <c r="D111">
        <f t="shared" si="1"/>
        <v>110</v>
      </c>
      <c r="E111" s="16">
        <f t="shared" si="2"/>
        <v>108</v>
      </c>
      <c r="H111" s="16"/>
    </row>
    <row r="112">
      <c r="D112">
        <f t="shared" si="1"/>
        <v>111</v>
      </c>
      <c r="E112" s="16">
        <f t="shared" si="2"/>
        <v>108</v>
      </c>
      <c r="H112" s="16"/>
    </row>
    <row r="113">
      <c r="D113">
        <f t="shared" si="1"/>
        <v>112</v>
      </c>
      <c r="E113" s="16">
        <f t="shared" si="2"/>
        <v>108</v>
      </c>
      <c r="H113" s="16"/>
    </row>
    <row r="114">
      <c r="D114">
        <f t="shared" si="1"/>
        <v>113</v>
      </c>
      <c r="E114" s="16">
        <f t="shared" si="2"/>
        <v>109</v>
      </c>
      <c r="H114" s="16"/>
    </row>
    <row r="115">
      <c r="D115">
        <f t="shared" si="1"/>
        <v>114</v>
      </c>
      <c r="E115" s="16">
        <f t="shared" si="2"/>
        <v>109</v>
      </c>
      <c r="H115" s="16"/>
    </row>
    <row r="116">
      <c r="D116">
        <f t="shared" si="1"/>
        <v>115</v>
      </c>
      <c r="E116" s="16">
        <f t="shared" si="2"/>
        <v>109</v>
      </c>
      <c r="H116" s="16"/>
    </row>
    <row r="117">
      <c r="D117">
        <f t="shared" si="1"/>
        <v>116</v>
      </c>
      <c r="E117" s="16">
        <f t="shared" si="2"/>
        <v>109</v>
      </c>
      <c r="H117" s="16"/>
    </row>
    <row r="118">
      <c r="D118">
        <f t="shared" si="1"/>
        <v>117</v>
      </c>
      <c r="E118" s="16">
        <f t="shared" si="2"/>
        <v>109</v>
      </c>
      <c r="H118" s="16"/>
    </row>
    <row r="119">
      <c r="D119">
        <f t="shared" si="1"/>
        <v>118</v>
      </c>
      <c r="E119" s="16">
        <f t="shared" si="2"/>
        <v>109</v>
      </c>
      <c r="H119" s="16"/>
    </row>
    <row r="120">
      <c r="D120">
        <f t="shared" si="1"/>
        <v>119</v>
      </c>
      <c r="E120" s="16">
        <f t="shared" si="2"/>
        <v>109</v>
      </c>
      <c r="H120" s="16"/>
    </row>
    <row r="121">
      <c r="D121">
        <f t="shared" si="1"/>
        <v>120</v>
      </c>
      <c r="E121" s="16">
        <f t="shared" si="2"/>
        <v>109</v>
      </c>
      <c r="H121" s="16"/>
    </row>
    <row r="122">
      <c r="D122">
        <f t="shared" si="1"/>
        <v>121</v>
      </c>
      <c r="E122" s="16">
        <f t="shared" si="2"/>
        <v>109</v>
      </c>
      <c r="H122" s="16"/>
    </row>
    <row r="123">
      <c r="D123">
        <f t="shared" si="1"/>
        <v>122</v>
      </c>
      <c r="E123" s="16">
        <f t="shared" si="2"/>
        <v>109</v>
      </c>
      <c r="H123" s="16"/>
    </row>
    <row r="124">
      <c r="D124">
        <f t="shared" si="1"/>
        <v>123</v>
      </c>
      <c r="E124" s="16">
        <f t="shared" si="2"/>
        <v>109</v>
      </c>
      <c r="H124" s="16"/>
    </row>
    <row r="125">
      <c r="D125">
        <f t="shared" si="1"/>
        <v>124</v>
      </c>
      <c r="E125" s="16">
        <f t="shared" si="2"/>
        <v>109</v>
      </c>
      <c r="H125" s="16"/>
    </row>
    <row r="126">
      <c r="D126">
        <f t="shared" si="1"/>
        <v>125</v>
      </c>
      <c r="E126" s="16">
        <f t="shared" si="2"/>
        <v>109</v>
      </c>
      <c r="H126" s="16"/>
    </row>
    <row r="127">
      <c r="D127">
        <f t="shared" si="1"/>
        <v>126</v>
      </c>
      <c r="E127" s="16">
        <f t="shared" si="2"/>
        <v>109</v>
      </c>
      <c r="H127" s="16"/>
    </row>
    <row r="128">
      <c r="D128">
        <f t="shared" si="1"/>
        <v>127</v>
      </c>
      <c r="E128" s="16">
        <f t="shared" si="2"/>
        <v>109</v>
      </c>
      <c r="H128" s="16"/>
    </row>
    <row r="129">
      <c r="D129">
        <f t="shared" si="1"/>
        <v>128</v>
      </c>
      <c r="E129" s="16">
        <f t="shared" si="2"/>
        <v>109</v>
      </c>
      <c r="H129" s="16"/>
    </row>
    <row r="130">
      <c r="D130">
        <f t="shared" si="1"/>
        <v>129</v>
      </c>
      <c r="E130" s="16">
        <f t="shared" si="2"/>
        <v>109</v>
      </c>
      <c r="H130" s="16"/>
    </row>
    <row r="131">
      <c r="D131">
        <f t="shared" si="1"/>
        <v>130</v>
      </c>
      <c r="E131" s="16">
        <f t="shared" si="2"/>
        <v>109</v>
      </c>
      <c r="H131" s="16"/>
    </row>
    <row r="132">
      <c r="D132">
        <f t="shared" si="1"/>
        <v>131</v>
      </c>
      <c r="E132" s="16">
        <f t="shared" si="2"/>
        <v>109</v>
      </c>
      <c r="H132" s="16"/>
    </row>
    <row r="133">
      <c r="D133">
        <f t="shared" si="1"/>
        <v>132</v>
      </c>
      <c r="E133" s="16">
        <f t="shared" si="2"/>
        <v>109</v>
      </c>
      <c r="H133" s="16"/>
    </row>
    <row r="134">
      <c r="D134">
        <f t="shared" si="1"/>
        <v>133</v>
      </c>
      <c r="E134" s="16">
        <f t="shared" si="2"/>
        <v>109</v>
      </c>
      <c r="H134" s="16"/>
    </row>
    <row r="135">
      <c r="D135">
        <f t="shared" si="1"/>
        <v>134</v>
      </c>
      <c r="E135" s="16">
        <f t="shared" si="2"/>
        <v>109</v>
      </c>
      <c r="H135" s="16"/>
    </row>
    <row r="136">
      <c r="D136">
        <f t="shared" si="1"/>
        <v>135</v>
      </c>
      <c r="E136" s="16">
        <f t="shared" si="2"/>
        <v>109</v>
      </c>
      <c r="H136" s="16"/>
    </row>
    <row r="137">
      <c r="D137">
        <f t="shared" si="1"/>
        <v>136</v>
      </c>
      <c r="E137" s="16">
        <f t="shared" si="2"/>
        <v>109</v>
      </c>
      <c r="H137" s="16"/>
    </row>
    <row r="138">
      <c r="E138" s="16"/>
      <c r="H138" s="16"/>
    </row>
    <row r="139">
      <c r="E139" s="16"/>
      <c r="H139" s="16"/>
    </row>
    <row r="140">
      <c r="E140" s="16"/>
      <c r="H140" s="16"/>
    </row>
    <row r="141">
      <c r="E141" s="16"/>
      <c r="H141" s="16"/>
    </row>
    <row r="142">
      <c r="E142" s="16"/>
      <c r="H142" s="16"/>
    </row>
    <row r="143">
      <c r="E143" s="16"/>
      <c r="H143" s="16"/>
    </row>
    <row r="144">
      <c r="E144" s="16"/>
      <c r="H144" s="16"/>
    </row>
    <row r="145">
      <c r="E145" s="16"/>
      <c r="H145" s="16"/>
    </row>
    <row r="146">
      <c r="E146" s="16"/>
      <c r="H146" s="16"/>
    </row>
    <row r="147">
      <c r="E147" s="16"/>
      <c r="H147" s="16"/>
    </row>
    <row r="148">
      <c r="E148" s="16"/>
      <c r="H148" s="16"/>
    </row>
    <row r="149">
      <c r="E149" s="16"/>
      <c r="H149" s="16"/>
    </row>
    <row r="150">
      <c r="E150" s="16"/>
      <c r="H150" s="16"/>
    </row>
    <row r="151">
      <c r="E151" s="16"/>
      <c r="H151" s="16"/>
    </row>
    <row r="152">
      <c r="E152" s="16"/>
      <c r="H152" s="16"/>
    </row>
    <row r="153">
      <c r="E153" s="16"/>
      <c r="H153" s="16"/>
    </row>
    <row r="154">
      <c r="E154" s="16"/>
      <c r="H154" s="16"/>
    </row>
    <row r="155">
      <c r="E155" s="16"/>
      <c r="H155" s="16"/>
    </row>
    <row r="156">
      <c r="E156" s="16"/>
      <c r="H156" s="16"/>
    </row>
    <row r="157">
      <c r="E157" s="16"/>
      <c r="H157" s="16"/>
    </row>
    <row r="158">
      <c r="E158" s="16"/>
      <c r="H158" s="16"/>
    </row>
    <row r="159">
      <c r="E159" s="16"/>
      <c r="H159" s="16"/>
    </row>
    <row r="160">
      <c r="E160" s="16"/>
      <c r="H160" s="16"/>
    </row>
    <row r="161">
      <c r="E161" s="16"/>
      <c r="H161" s="16"/>
    </row>
    <row r="162">
      <c r="E162" s="16"/>
      <c r="H162" s="16"/>
    </row>
    <row r="163">
      <c r="E163" s="16"/>
      <c r="H163" s="16"/>
    </row>
    <row r="164">
      <c r="E164" s="16"/>
      <c r="H164" s="16"/>
    </row>
    <row r="165">
      <c r="E165" s="16"/>
      <c r="H165" s="16"/>
    </row>
    <row r="166">
      <c r="E166" s="16"/>
      <c r="H166" s="16"/>
    </row>
    <row r="167">
      <c r="E167" s="16"/>
      <c r="H167" s="16"/>
    </row>
    <row r="168">
      <c r="E168" s="16"/>
      <c r="H168" s="16"/>
    </row>
    <row r="169">
      <c r="E169" s="16"/>
      <c r="H169" s="16"/>
    </row>
    <row r="170">
      <c r="E170" s="16"/>
      <c r="H170" s="16"/>
    </row>
    <row r="171">
      <c r="E171" s="16"/>
      <c r="H171" s="16"/>
    </row>
    <row r="172">
      <c r="E172" s="16"/>
      <c r="H172" s="16"/>
    </row>
    <row r="173">
      <c r="E173" s="16"/>
      <c r="H173" s="16"/>
    </row>
    <row r="174">
      <c r="E174" s="16"/>
      <c r="H174" s="16"/>
    </row>
    <row r="175">
      <c r="E175" s="16"/>
      <c r="H175" s="16"/>
    </row>
    <row r="176">
      <c r="E176" s="16"/>
      <c r="H176" s="16"/>
    </row>
    <row r="177">
      <c r="E177" s="16"/>
      <c r="H177" s="16"/>
    </row>
    <row r="178">
      <c r="E178" s="16"/>
    </row>
    <row r="179">
      <c r="E179" s="16"/>
    </row>
    <row r="180">
      <c r="E180" s="16"/>
    </row>
    <row r="181">
      <c r="E181" s="16"/>
    </row>
    <row r="182">
      <c r="E182" s="16"/>
    </row>
    <row r="183">
      <c r="E183" s="16"/>
    </row>
    <row r="184">
      <c r="E184" s="16"/>
    </row>
    <row r="185">
      <c r="E185" s="16"/>
    </row>
    <row r="186">
      <c r="E186" s="16"/>
    </row>
    <row r="187">
      <c r="E187" s="16"/>
    </row>
    <row r="188">
      <c r="E188" s="16"/>
    </row>
    <row r="189">
      <c r="E189" s="16"/>
    </row>
    <row r="190">
      <c r="E190" s="16"/>
    </row>
    <row r="191">
      <c r="E191" s="16"/>
    </row>
    <row r="192">
      <c r="E192" s="16"/>
    </row>
    <row r="193">
      <c r="E193" s="16"/>
    </row>
    <row r="194">
      <c r="E194" s="16"/>
    </row>
    <row r="195">
      <c r="E195" s="16"/>
    </row>
    <row r="196">
      <c r="E196" s="16"/>
    </row>
    <row r="197">
      <c r="E197" s="16"/>
    </row>
    <row r="198">
      <c r="E198" s="16"/>
    </row>
    <row r="199">
      <c r="E199" s="16"/>
    </row>
    <row r="200">
      <c r="E200" s="16"/>
    </row>
    <row r="201">
      <c r="E201" s="16"/>
    </row>
    <row r="202">
      <c r="E202" s="16"/>
    </row>
    <row r="203">
      <c r="E203" s="16"/>
    </row>
    <row r="204">
      <c r="E204" s="16"/>
    </row>
    <row r="205">
      <c r="E205" s="16"/>
    </row>
    <row r="206">
      <c r="E206" s="16"/>
    </row>
    <row r="207">
      <c r="E207" s="16"/>
    </row>
    <row r="208">
      <c r="E208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62.75"/>
    <col customWidth="1" min="4" max="4" width="15.13"/>
  </cols>
  <sheetData>
    <row r="1">
      <c r="A1" s="21" t="s">
        <v>45</v>
      </c>
      <c r="B1" s="21" t="s">
        <v>46</v>
      </c>
      <c r="C1" s="22" t="s">
        <v>47</v>
      </c>
      <c r="D1" s="21" t="s">
        <v>48</v>
      </c>
      <c r="E1" s="21" t="s">
        <v>49</v>
      </c>
    </row>
    <row r="2">
      <c r="A2" s="23" t="s">
        <v>50</v>
      </c>
      <c r="B2" s="23" t="s">
        <v>51</v>
      </c>
      <c r="C2" s="23" t="s">
        <v>52</v>
      </c>
      <c r="D2" s="23" t="s">
        <v>53</v>
      </c>
      <c r="E2" s="24"/>
    </row>
    <row r="3">
      <c r="A3" s="23" t="s">
        <v>54</v>
      </c>
      <c r="B3" s="23" t="s">
        <v>55</v>
      </c>
      <c r="C3" s="23" t="s">
        <v>56</v>
      </c>
      <c r="D3" s="23" t="s">
        <v>53</v>
      </c>
      <c r="E3" s="24"/>
    </row>
    <row r="4">
      <c r="A4" s="23" t="s">
        <v>57</v>
      </c>
      <c r="B4" s="24"/>
      <c r="C4" s="23" t="s">
        <v>58</v>
      </c>
      <c r="D4" s="23" t="s">
        <v>59</v>
      </c>
      <c r="E4" s="24"/>
    </row>
    <row r="5">
      <c r="A5" s="23" t="s">
        <v>60</v>
      </c>
      <c r="B5" s="24"/>
      <c r="C5" s="23" t="s">
        <v>58</v>
      </c>
      <c r="D5" s="23" t="s">
        <v>53</v>
      </c>
      <c r="E5" s="24"/>
    </row>
    <row r="6">
      <c r="A6" s="23" t="s">
        <v>61</v>
      </c>
      <c r="B6" s="24"/>
      <c r="C6" s="23" t="s">
        <v>58</v>
      </c>
      <c r="D6" s="23" t="s">
        <v>53</v>
      </c>
      <c r="E6" s="24"/>
    </row>
    <row r="7">
      <c r="A7" s="23" t="s">
        <v>62</v>
      </c>
      <c r="B7" s="24"/>
      <c r="C7" s="23" t="s">
        <v>58</v>
      </c>
      <c r="D7" s="23" t="s">
        <v>53</v>
      </c>
      <c r="E7" s="24"/>
    </row>
    <row r="8">
      <c r="A8" s="23" t="s">
        <v>63</v>
      </c>
      <c r="B8" s="24"/>
      <c r="C8" s="23" t="s">
        <v>58</v>
      </c>
      <c r="D8" s="23" t="s">
        <v>53</v>
      </c>
      <c r="E8" s="24"/>
    </row>
    <row r="9">
      <c r="A9" s="23" t="s">
        <v>64</v>
      </c>
      <c r="B9" s="24"/>
      <c r="C9" s="23" t="s">
        <v>65</v>
      </c>
      <c r="D9" s="23" t="s">
        <v>66</v>
      </c>
      <c r="E9" s="24"/>
    </row>
    <row r="10">
      <c r="A10" s="23" t="s">
        <v>67</v>
      </c>
      <c r="B10" s="24"/>
      <c r="C10" s="23" t="s">
        <v>68</v>
      </c>
      <c r="D10" s="23" t="s">
        <v>53</v>
      </c>
      <c r="E10" s="24"/>
    </row>
    <row r="11">
      <c r="A11" s="23" t="s">
        <v>69</v>
      </c>
      <c r="B11" s="24"/>
      <c r="C11" s="23" t="s">
        <v>65</v>
      </c>
      <c r="D11" s="23" t="s">
        <v>70</v>
      </c>
      <c r="E11" s="24"/>
    </row>
    <row r="12">
      <c r="A12" s="23" t="s">
        <v>71</v>
      </c>
      <c r="B12" s="24"/>
      <c r="C12" s="23" t="s">
        <v>58</v>
      </c>
      <c r="D12" s="23" t="s">
        <v>59</v>
      </c>
      <c r="E12" s="24"/>
    </row>
    <row r="13">
      <c r="A13" s="23" t="s">
        <v>72</v>
      </c>
      <c r="B13" s="24"/>
      <c r="C13" s="23" t="s">
        <v>58</v>
      </c>
      <c r="D13" s="23" t="s">
        <v>59</v>
      </c>
      <c r="E13" s="24"/>
    </row>
    <row r="14">
      <c r="A14" s="23" t="s">
        <v>73</v>
      </c>
      <c r="B14" s="24"/>
      <c r="C14" s="23" t="s">
        <v>58</v>
      </c>
      <c r="D14" s="23" t="s">
        <v>74</v>
      </c>
      <c r="E14" s="24"/>
    </row>
    <row r="15">
      <c r="A15" s="23" t="s">
        <v>75</v>
      </c>
      <c r="B15" s="24"/>
      <c r="C15" s="23" t="s">
        <v>58</v>
      </c>
      <c r="D15" s="23" t="s">
        <v>59</v>
      </c>
      <c r="E15" s="24"/>
    </row>
    <row r="16">
      <c r="A16" s="23" t="s">
        <v>76</v>
      </c>
      <c r="B16" s="24"/>
      <c r="C16" s="23" t="s">
        <v>58</v>
      </c>
      <c r="D16" s="23" t="s">
        <v>59</v>
      </c>
      <c r="E16" s="24"/>
    </row>
    <row r="17">
      <c r="A17" s="23" t="s">
        <v>77</v>
      </c>
      <c r="B17" s="24"/>
      <c r="C17" s="23" t="s">
        <v>78</v>
      </c>
      <c r="D17" s="23" t="s">
        <v>53</v>
      </c>
      <c r="E17" s="24"/>
    </row>
    <row r="18">
      <c r="A18" s="23" t="s">
        <v>79</v>
      </c>
      <c r="B18" s="24"/>
      <c r="C18" s="23" t="s">
        <v>65</v>
      </c>
      <c r="D18" s="23" t="s">
        <v>59</v>
      </c>
      <c r="E18" s="24"/>
    </row>
    <row r="19">
      <c r="A19" s="23" t="s">
        <v>80</v>
      </c>
      <c r="B19" s="24"/>
      <c r="C19" s="23" t="s">
        <v>65</v>
      </c>
      <c r="D19" s="23" t="s">
        <v>81</v>
      </c>
      <c r="E19" s="24"/>
    </row>
    <row r="20">
      <c r="A20" s="23" t="s">
        <v>82</v>
      </c>
      <c r="B20" s="24"/>
      <c r="C20" s="23" t="s">
        <v>65</v>
      </c>
      <c r="D20" s="23" t="s">
        <v>83</v>
      </c>
      <c r="E20" s="24"/>
    </row>
    <row r="21">
      <c r="A21" s="23" t="s">
        <v>84</v>
      </c>
      <c r="B21" s="24"/>
      <c r="C21" s="23" t="s">
        <v>65</v>
      </c>
      <c r="D21" s="23" t="s">
        <v>85</v>
      </c>
      <c r="E21" s="24"/>
    </row>
    <row r="22">
      <c r="A22" s="23" t="s">
        <v>86</v>
      </c>
      <c r="B22" s="24"/>
      <c r="C22" s="23" t="s">
        <v>58</v>
      </c>
      <c r="D22" s="23" t="s">
        <v>53</v>
      </c>
      <c r="E22" s="24"/>
    </row>
    <row r="23">
      <c r="A23" s="23" t="s">
        <v>87</v>
      </c>
      <c r="B23" s="24"/>
      <c r="C23" s="23" t="s">
        <v>58</v>
      </c>
      <c r="D23" s="23" t="s">
        <v>59</v>
      </c>
      <c r="E23" s="24"/>
    </row>
    <row r="24">
      <c r="A24" s="23" t="s">
        <v>88</v>
      </c>
      <c r="B24" s="24"/>
      <c r="C24" s="23" t="s">
        <v>58</v>
      </c>
      <c r="D24" s="23" t="s">
        <v>53</v>
      </c>
      <c r="E24" s="24"/>
    </row>
    <row r="25">
      <c r="A25" s="23" t="s">
        <v>89</v>
      </c>
      <c r="B25" s="24"/>
      <c r="C25" s="23" t="s">
        <v>52</v>
      </c>
      <c r="D25" s="23" t="s">
        <v>59</v>
      </c>
      <c r="E25" s="24"/>
    </row>
    <row r="26">
      <c r="A26" s="23" t="s">
        <v>90</v>
      </c>
      <c r="B26" s="24"/>
      <c r="C26" s="23" t="s">
        <v>58</v>
      </c>
      <c r="D26" s="23" t="s">
        <v>59</v>
      </c>
      <c r="E26" s="24"/>
    </row>
    <row r="27">
      <c r="A27" s="23" t="s">
        <v>91</v>
      </c>
      <c r="B27" s="24"/>
      <c r="C27" s="23" t="s">
        <v>52</v>
      </c>
      <c r="D27" s="23" t="s">
        <v>59</v>
      </c>
      <c r="E27" s="24"/>
    </row>
    <row r="28">
      <c r="A28" s="23" t="s">
        <v>92</v>
      </c>
      <c r="B28" s="24"/>
      <c r="C28" s="23" t="s">
        <v>78</v>
      </c>
      <c r="D28" s="23" t="s">
        <v>53</v>
      </c>
      <c r="E28" s="24"/>
    </row>
    <row r="29">
      <c r="A29" s="23" t="s">
        <v>93</v>
      </c>
      <c r="B29" s="24"/>
      <c r="C29" s="23" t="s">
        <v>58</v>
      </c>
      <c r="D29" s="23" t="s">
        <v>59</v>
      </c>
      <c r="E29" s="24"/>
    </row>
    <row r="30">
      <c r="A30" s="23" t="s">
        <v>94</v>
      </c>
      <c r="B30" s="24"/>
      <c r="C30" s="23" t="s">
        <v>52</v>
      </c>
      <c r="D30" s="23" t="s">
        <v>59</v>
      </c>
      <c r="E30" s="24"/>
    </row>
    <row r="31">
      <c r="A31" s="23" t="s">
        <v>95</v>
      </c>
      <c r="B31" s="24"/>
      <c r="C31" s="23" t="s">
        <v>58</v>
      </c>
      <c r="D31" s="23" t="s">
        <v>53</v>
      </c>
      <c r="E31" s="24"/>
    </row>
    <row r="32">
      <c r="A32" s="23" t="s">
        <v>96</v>
      </c>
      <c r="B32" s="24"/>
      <c r="C32" s="23" t="s">
        <v>65</v>
      </c>
      <c r="D32" s="23" t="s">
        <v>53</v>
      </c>
      <c r="E32" s="24"/>
    </row>
    <row r="33">
      <c r="A33" s="23" t="s">
        <v>97</v>
      </c>
      <c r="B33" s="24"/>
      <c r="C33" s="23" t="s">
        <v>52</v>
      </c>
      <c r="D33" s="23" t="s">
        <v>53</v>
      </c>
      <c r="E33" s="24"/>
    </row>
    <row r="34">
      <c r="A34" s="23" t="s">
        <v>98</v>
      </c>
      <c r="B34" s="24"/>
      <c r="C34" s="23" t="s">
        <v>52</v>
      </c>
      <c r="D34" s="23" t="s">
        <v>53</v>
      </c>
      <c r="E34" s="24"/>
    </row>
    <row r="35">
      <c r="A35" s="23" t="s">
        <v>99</v>
      </c>
      <c r="B35" s="24"/>
      <c r="C35" s="23" t="s">
        <v>52</v>
      </c>
      <c r="D35" s="23" t="s">
        <v>53</v>
      </c>
      <c r="E35" s="24"/>
    </row>
    <row r="36">
      <c r="A36" s="23" t="s">
        <v>100</v>
      </c>
      <c r="B36" s="24"/>
      <c r="C36" s="23" t="s">
        <v>65</v>
      </c>
      <c r="D36" s="23" t="s">
        <v>53</v>
      </c>
      <c r="E36" s="24"/>
    </row>
    <row r="37">
      <c r="A37" s="23" t="s">
        <v>101</v>
      </c>
      <c r="B37" s="24"/>
      <c r="C37" s="23" t="s">
        <v>65</v>
      </c>
      <c r="D37" s="23" t="s">
        <v>66</v>
      </c>
      <c r="E37" s="24"/>
    </row>
    <row r="38">
      <c r="A38" s="23" t="s">
        <v>102</v>
      </c>
      <c r="B38" s="24"/>
      <c r="C38" s="23" t="s">
        <v>58</v>
      </c>
      <c r="D38" s="23" t="s">
        <v>59</v>
      </c>
      <c r="E38" s="24"/>
    </row>
    <row r="39">
      <c r="A39" s="23" t="s">
        <v>103</v>
      </c>
      <c r="B39" s="24"/>
      <c r="C39" s="23" t="s">
        <v>52</v>
      </c>
      <c r="D39" s="23" t="s">
        <v>53</v>
      </c>
      <c r="E39" s="24"/>
    </row>
    <row r="40">
      <c r="A40" s="23" t="s">
        <v>104</v>
      </c>
      <c r="B40" s="24"/>
      <c r="C40" s="23" t="s">
        <v>68</v>
      </c>
      <c r="D40" s="24"/>
      <c r="E40" s="24"/>
    </row>
    <row r="41">
      <c r="A41" s="23" t="s">
        <v>105</v>
      </c>
      <c r="B41" s="24"/>
      <c r="C41" s="23" t="s">
        <v>65</v>
      </c>
      <c r="D41" s="23" t="s">
        <v>53</v>
      </c>
      <c r="E41" s="24"/>
    </row>
    <row r="42">
      <c r="A42" s="23" t="s">
        <v>106</v>
      </c>
      <c r="B42" s="24"/>
      <c r="C42" s="23" t="s">
        <v>52</v>
      </c>
      <c r="D42" s="23" t="s">
        <v>53</v>
      </c>
      <c r="E42" s="24"/>
    </row>
    <row r="43">
      <c r="A43" s="23" t="s">
        <v>107</v>
      </c>
      <c r="B43" s="24"/>
      <c r="C43" s="23" t="s">
        <v>58</v>
      </c>
      <c r="D43" s="23" t="s">
        <v>59</v>
      </c>
      <c r="E43" s="24"/>
    </row>
    <row r="44">
      <c r="A44" s="23" t="s">
        <v>108</v>
      </c>
      <c r="B44" s="24"/>
      <c r="C44" s="23" t="s">
        <v>65</v>
      </c>
      <c r="D44" s="23" t="s">
        <v>109</v>
      </c>
      <c r="E44" s="24"/>
    </row>
    <row r="45">
      <c r="A45" s="23" t="s">
        <v>110</v>
      </c>
      <c r="B45" s="24"/>
      <c r="C45" s="23" t="s">
        <v>111</v>
      </c>
      <c r="D45" s="23" t="s">
        <v>112</v>
      </c>
      <c r="E45" s="24"/>
    </row>
    <row r="46">
      <c r="A46" s="23" t="s">
        <v>113</v>
      </c>
      <c r="B46" s="24"/>
      <c r="C46" s="23" t="s">
        <v>65</v>
      </c>
      <c r="D46" s="23" t="s">
        <v>114</v>
      </c>
      <c r="E46" s="24"/>
    </row>
    <row r="47">
      <c r="A47" s="23" t="s">
        <v>115</v>
      </c>
      <c r="B47" s="24"/>
      <c r="C47" s="23" t="s">
        <v>52</v>
      </c>
      <c r="D47" s="23" t="s">
        <v>53</v>
      </c>
      <c r="E47" s="24"/>
    </row>
    <row r="48">
      <c r="A48" s="23" t="s">
        <v>116</v>
      </c>
      <c r="B48" s="24"/>
      <c r="C48" s="23" t="s">
        <v>58</v>
      </c>
      <c r="D48" s="23" t="s">
        <v>53</v>
      </c>
      <c r="E48" s="24"/>
    </row>
    <row r="49">
      <c r="A49" s="23" t="s">
        <v>117</v>
      </c>
      <c r="B49" s="24"/>
      <c r="C49" s="23" t="s">
        <v>58</v>
      </c>
      <c r="D49" s="23" t="s">
        <v>118</v>
      </c>
      <c r="E49" s="24"/>
    </row>
    <row r="50">
      <c r="A50" s="23" t="s">
        <v>119</v>
      </c>
      <c r="B50" s="24"/>
      <c r="C50" s="23" t="s">
        <v>52</v>
      </c>
      <c r="D50" s="23" t="s">
        <v>53</v>
      </c>
      <c r="E50" s="24"/>
    </row>
    <row r="51">
      <c r="A51" s="23" t="s">
        <v>120</v>
      </c>
      <c r="B51" s="24"/>
      <c r="C51" s="23" t="s">
        <v>58</v>
      </c>
      <c r="D51" s="23" t="s">
        <v>74</v>
      </c>
      <c r="E51" s="24"/>
    </row>
    <row r="52">
      <c r="A52" s="23" t="s">
        <v>121</v>
      </c>
      <c r="B52" s="24"/>
      <c r="C52" s="23" t="s">
        <v>58</v>
      </c>
      <c r="D52" s="23" t="s">
        <v>53</v>
      </c>
      <c r="E52" s="24"/>
    </row>
    <row r="53">
      <c r="A53" s="23" t="s">
        <v>122</v>
      </c>
      <c r="B53" s="24"/>
      <c r="C53" s="23" t="s">
        <v>111</v>
      </c>
      <c r="D53" s="23" t="s">
        <v>112</v>
      </c>
      <c r="E53" s="24"/>
    </row>
    <row r="54">
      <c r="A54" s="23" t="s">
        <v>123</v>
      </c>
      <c r="B54" s="24"/>
      <c r="C54" s="23" t="s">
        <v>111</v>
      </c>
      <c r="D54" s="23" t="s">
        <v>114</v>
      </c>
      <c r="E54" s="24"/>
    </row>
    <row r="55">
      <c r="A55" s="23" t="s">
        <v>124</v>
      </c>
      <c r="B55" s="24"/>
      <c r="C55" s="23" t="s">
        <v>111</v>
      </c>
      <c r="D55" s="23" t="s">
        <v>112</v>
      </c>
      <c r="E55" s="24"/>
    </row>
    <row r="56">
      <c r="A56" s="23" t="s">
        <v>125</v>
      </c>
      <c r="B56" s="24"/>
      <c r="C56" s="23" t="s">
        <v>111</v>
      </c>
      <c r="D56" s="23" t="s">
        <v>112</v>
      </c>
      <c r="E56" s="24"/>
    </row>
    <row r="57">
      <c r="A57" s="23" t="s">
        <v>126</v>
      </c>
      <c r="B57" s="24"/>
      <c r="C57" s="23" t="s">
        <v>111</v>
      </c>
      <c r="D57" s="23" t="s">
        <v>112</v>
      </c>
      <c r="E57" s="24"/>
    </row>
    <row r="58">
      <c r="A58" s="23" t="s">
        <v>127</v>
      </c>
      <c r="B58" s="24"/>
      <c r="C58" s="23" t="s">
        <v>52</v>
      </c>
      <c r="D58" s="23" t="s">
        <v>112</v>
      </c>
      <c r="E58" s="24"/>
    </row>
    <row r="59">
      <c r="A59" s="23" t="s">
        <v>128</v>
      </c>
      <c r="B59" s="24"/>
      <c r="C59" s="23" t="s">
        <v>65</v>
      </c>
      <c r="D59" s="23" t="s">
        <v>114</v>
      </c>
      <c r="E59" s="24"/>
    </row>
    <row r="60">
      <c r="A60" s="23" t="s">
        <v>129</v>
      </c>
      <c r="B60" s="24"/>
      <c r="C60" s="23" t="s">
        <v>58</v>
      </c>
      <c r="D60" s="23" t="s">
        <v>66</v>
      </c>
      <c r="E60" s="24"/>
    </row>
    <row r="61">
      <c r="A61" s="23" t="s">
        <v>130</v>
      </c>
      <c r="B61" s="24"/>
      <c r="C61" s="23" t="s">
        <v>65</v>
      </c>
      <c r="D61" s="23" t="s">
        <v>66</v>
      </c>
      <c r="E61" s="24"/>
    </row>
    <row r="62">
      <c r="A62" s="23" t="s">
        <v>131</v>
      </c>
      <c r="B62" s="24"/>
      <c r="C62" s="23" t="s">
        <v>78</v>
      </c>
      <c r="D62" s="23" t="s">
        <v>114</v>
      </c>
      <c r="E62" s="24"/>
    </row>
    <row r="63">
      <c r="A63" s="23" t="s">
        <v>132</v>
      </c>
      <c r="B63" s="24"/>
      <c r="C63" s="23" t="s">
        <v>58</v>
      </c>
      <c r="D63" s="23" t="s">
        <v>133</v>
      </c>
      <c r="E63" s="24"/>
    </row>
    <row r="64">
      <c r="A64" s="23" t="s">
        <v>134</v>
      </c>
      <c r="B64" s="24"/>
      <c r="C64" s="23" t="s">
        <v>65</v>
      </c>
      <c r="D64" s="23" t="s">
        <v>53</v>
      </c>
      <c r="E64" s="24"/>
    </row>
    <row r="65">
      <c r="A65" s="23" t="s">
        <v>135</v>
      </c>
      <c r="B65" s="24"/>
      <c r="C65" s="23" t="s">
        <v>52</v>
      </c>
      <c r="D65" s="23" t="s">
        <v>114</v>
      </c>
      <c r="E65" s="24"/>
    </row>
    <row r="66">
      <c r="A66" s="23" t="s">
        <v>136</v>
      </c>
      <c r="B66" s="24"/>
      <c r="C66" s="23" t="s">
        <v>58</v>
      </c>
      <c r="D66" s="23" t="s">
        <v>70</v>
      </c>
      <c r="E66" s="24"/>
    </row>
    <row r="67">
      <c r="A67" s="23" t="s">
        <v>137</v>
      </c>
      <c r="B67" s="24"/>
      <c r="C67" s="23" t="s">
        <v>52</v>
      </c>
      <c r="D67" s="23" t="s">
        <v>53</v>
      </c>
      <c r="E67" s="24"/>
    </row>
    <row r="68">
      <c r="A68" s="23" t="s">
        <v>138</v>
      </c>
      <c r="B68" s="24"/>
      <c r="C68" s="23" t="s">
        <v>58</v>
      </c>
      <c r="D68" s="23" t="s">
        <v>53</v>
      </c>
      <c r="E68" s="24"/>
    </row>
    <row r="69">
      <c r="A69" s="23" t="s">
        <v>139</v>
      </c>
      <c r="B69" s="24"/>
      <c r="C69" s="23" t="s">
        <v>56</v>
      </c>
      <c r="D69" s="23" t="s">
        <v>53</v>
      </c>
      <c r="E69" s="24"/>
    </row>
    <row r="70">
      <c r="A70" s="23" t="s">
        <v>140</v>
      </c>
      <c r="B70" s="24"/>
      <c r="C70" s="23" t="s">
        <v>56</v>
      </c>
      <c r="D70" s="23" t="s">
        <v>53</v>
      </c>
      <c r="E70" s="24"/>
    </row>
    <row r="71">
      <c r="A71" s="23" t="s">
        <v>141</v>
      </c>
      <c r="B71" s="24"/>
      <c r="C71" s="23" t="s">
        <v>52</v>
      </c>
      <c r="D71" s="23" t="s">
        <v>53</v>
      </c>
      <c r="E71" s="24"/>
    </row>
    <row r="72">
      <c r="A72" s="23" t="s">
        <v>142</v>
      </c>
      <c r="B72" s="24"/>
      <c r="C72" s="23" t="s">
        <v>56</v>
      </c>
      <c r="D72" s="23" t="s">
        <v>53</v>
      </c>
      <c r="E72" s="24"/>
    </row>
    <row r="73">
      <c r="A73" s="23" t="s">
        <v>143</v>
      </c>
      <c r="B73" s="24"/>
      <c r="C73" s="23" t="s">
        <v>52</v>
      </c>
      <c r="D73" s="23" t="s">
        <v>53</v>
      </c>
      <c r="E73" s="24"/>
    </row>
    <row r="74">
      <c r="A74" s="23" t="s">
        <v>144</v>
      </c>
      <c r="B74" s="24"/>
      <c r="C74" s="23" t="s">
        <v>56</v>
      </c>
      <c r="D74" s="23" t="s">
        <v>53</v>
      </c>
      <c r="E74" s="24"/>
    </row>
    <row r="75">
      <c r="A75" s="23" t="s">
        <v>145</v>
      </c>
      <c r="B75" s="24"/>
      <c r="C75" s="23" t="s">
        <v>56</v>
      </c>
      <c r="D75" s="23" t="s">
        <v>53</v>
      </c>
      <c r="E75" s="24"/>
    </row>
    <row r="76">
      <c r="A76" s="23" t="s">
        <v>146</v>
      </c>
      <c r="B76" s="24"/>
      <c r="C76" s="23" t="s">
        <v>52</v>
      </c>
      <c r="D76" s="23" t="s">
        <v>53</v>
      </c>
      <c r="E76" s="24"/>
    </row>
    <row r="77">
      <c r="A77" s="23" t="s">
        <v>147</v>
      </c>
      <c r="B77" s="24"/>
      <c r="C77" s="23" t="s">
        <v>56</v>
      </c>
      <c r="D77" s="23" t="s">
        <v>53</v>
      </c>
      <c r="E77" s="24"/>
    </row>
    <row r="78">
      <c r="A78" s="23" t="s">
        <v>148</v>
      </c>
      <c r="B78" s="24"/>
      <c r="C78" s="23" t="s">
        <v>52</v>
      </c>
      <c r="D78" s="23" t="s">
        <v>53</v>
      </c>
      <c r="E78" s="24"/>
    </row>
    <row r="79">
      <c r="A79" s="23" t="s">
        <v>149</v>
      </c>
      <c r="B79" s="24"/>
      <c r="C79" s="23" t="s">
        <v>56</v>
      </c>
      <c r="D79" s="23" t="s">
        <v>53</v>
      </c>
      <c r="E79" s="24"/>
    </row>
    <row r="80">
      <c r="A80" s="23" t="s">
        <v>150</v>
      </c>
      <c r="B80" s="24"/>
      <c r="C80" s="23" t="s">
        <v>56</v>
      </c>
      <c r="D80" s="23" t="s">
        <v>53</v>
      </c>
      <c r="E80" s="24"/>
    </row>
    <row r="81">
      <c r="A81" s="23" t="s">
        <v>151</v>
      </c>
      <c r="B81" s="24"/>
      <c r="C81" s="23" t="s">
        <v>52</v>
      </c>
      <c r="D81" s="23" t="s">
        <v>53</v>
      </c>
      <c r="E81" s="24"/>
    </row>
    <row r="82">
      <c r="A82" s="23" t="s">
        <v>152</v>
      </c>
      <c r="B82" s="24"/>
      <c r="C82" s="23" t="s">
        <v>52</v>
      </c>
      <c r="D82" s="23" t="s">
        <v>53</v>
      </c>
      <c r="E82" s="24"/>
    </row>
    <row r="83">
      <c r="A83" s="23" t="s">
        <v>153</v>
      </c>
      <c r="B83" s="24"/>
      <c r="C83" s="23" t="s">
        <v>56</v>
      </c>
      <c r="D83" s="23" t="s">
        <v>53</v>
      </c>
      <c r="E83" s="24"/>
    </row>
    <row r="84">
      <c r="A84" s="23" t="s">
        <v>154</v>
      </c>
      <c r="B84" s="24"/>
      <c r="C84" s="23" t="s">
        <v>56</v>
      </c>
      <c r="D84" s="23" t="s">
        <v>155</v>
      </c>
      <c r="E84" s="24"/>
    </row>
    <row r="85">
      <c r="A85" s="23" t="s">
        <v>156</v>
      </c>
      <c r="B85" s="24"/>
      <c r="C85" s="23" t="s">
        <v>52</v>
      </c>
      <c r="D85" s="23" t="s">
        <v>53</v>
      </c>
      <c r="E85" s="24"/>
    </row>
    <row r="86">
      <c r="A86" s="23" t="s">
        <v>157</v>
      </c>
      <c r="B86" s="24"/>
      <c r="C86" s="23" t="s">
        <v>52</v>
      </c>
      <c r="D86" s="23" t="s">
        <v>53</v>
      </c>
      <c r="E86" s="24"/>
    </row>
    <row r="87">
      <c r="A87" s="23" t="s">
        <v>158</v>
      </c>
      <c r="B87" s="24"/>
      <c r="C87" s="23" t="s">
        <v>65</v>
      </c>
      <c r="D87" s="23" t="s">
        <v>109</v>
      </c>
      <c r="E87" s="24"/>
    </row>
    <row r="88">
      <c r="A88" s="23" t="s">
        <v>159</v>
      </c>
      <c r="B88" s="24"/>
      <c r="C88" s="23" t="s">
        <v>65</v>
      </c>
      <c r="D88" s="23" t="s">
        <v>160</v>
      </c>
      <c r="E88" s="24"/>
    </row>
    <row r="89">
      <c r="A89" s="23" t="s">
        <v>161</v>
      </c>
      <c r="B89" s="24"/>
      <c r="C89" s="23" t="s">
        <v>52</v>
      </c>
      <c r="D89" s="23" t="s">
        <v>162</v>
      </c>
      <c r="E89" s="24"/>
    </row>
    <row r="90">
      <c r="A90" s="23" t="s">
        <v>163</v>
      </c>
      <c r="B90" s="24"/>
      <c r="C90" s="23" t="s">
        <v>65</v>
      </c>
      <c r="D90" s="23" t="s">
        <v>66</v>
      </c>
      <c r="E90" s="24"/>
    </row>
    <row r="91">
      <c r="A91" s="23" t="s">
        <v>164</v>
      </c>
      <c r="B91" s="24"/>
      <c r="C91" s="23" t="s">
        <v>58</v>
      </c>
      <c r="D91" s="23" t="s">
        <v>165</v>
      </c>
      <c r="E91" s="24"/>
    </row>
    <row r="92">
      <c r="A92" s="23" t="s">
        <v>166</v>
      </c>
      <c r="B92" s="24"/>
      <c r="C92" s="23" t="s">
        <v>65</v>
      </c>
      <c r="D92" s="23" t="s">
        <v>167</v>
      </c>
      <c r="E92" s="24"/>
    </row>
    <row r="93">
      <c r="A93" s="23" t="s">
        <v>168</v>
      </c>
      <c r="B93" s="24"/>
      <c r="C93" s="23" t="s">
        <v>65</v>
      </c>
      <c r="D93" s="23" t="s">
        <v>109</v>
      </c>
      <c r="E93" s="24"/>
    </row>
    <row r="94">
      <c r="A94" s="23" t="s">
        <v>169</v>
      </c>
      <c r="B94" s="24"/>
      <c r="C94" s="23" t="s">
        <v>65</v>
      </c>
      <c r="D94" s="23" t="s">
        <v>53</v>
      </c>
      <c r="E94" s="24"/>
    </row>
    <row r="95">
      <c r="A95" s="23" t="s">
        <v>169</v>
      </c>
      <c r="B95" s="24"/>
      <c r="C95" s="23" t="s">
        <v>65</v>
      </c>
      <c r="D95" s="24"/>
      <c r="E95" s="24"/>
    </row>
    <row r="96">
      <c r="A96" s="23" t="s">
        <v>170</v>
      </c>
      <c r="B96" s="24"/>
      <c r="C96" s="23" t="s">
        <v>65</v>
      </c>
      <c r="D96" s="24"/>
      <c r="E96" s="24"/>
    </row>
    <row r="97">
      <c r="A97" s="23" t="s">
        <v>171</v>
      </c>
      <c r="B97" s="24"/>
      <c r="C97" s="23" t="s">
        <v>65</v>
      </c>
      <c r="D97" s="24"/>
      <c r="E97" s="24"/>
    </row>
    <row r="98">
      <c r="A98" s="23" t="s">
        <v>172</v>
      </c>
      <c r="B98" s="24"/>
      <c r="C98" s="23" t="s">
        <v>65</v>
      </c>
      <c r="D98" s="24"/>
      <c r="E98" s="24"/>
    </row>
    <row r="99">
      <c r="A99" s="23" t="s">
        <v>173</v>
      </c>
      <c r="B99" s="24"/>
      <c r="C99" s="23" t="s">
        <v>65</v>
      </c>
      <c r="D99" s="24"/>
      <c r="E99" s="24"/>
    </row>
    <row r="100">
      <c r="A100" s="23" t="s">
        <v>174</v>
      </c>
      <c r="B100" s="24"/>
      <c r="C100" s="23" t="s">
        <v>65</v>
      </c>
      <c r="D100" s="24"/>
      <c r="E100" s="24"/>
    </row>
    <row r="101">
      <c r="A101" s="23" t="s">
        <v>175</v>
      </c>
      <c r="B101" s="24"/>
      <c r="C101" s="23" t="s">
        <v>65</v>
      </c>
      <c r="D101" s="24"/>
      <c r="E101" s="24"/>
    </row>
    <row r="102">
      <c r="A102" s="23" t="s">
        <v>176</v>
      </c>
      <c r="B102" s="24"/>
      <c r="C102" s="23" t="s">
        <v>65</v>
      </c>
      <c r="D102" s="24"/>
      <c r="E102" s="24"/>
    </row>
    <row r="103">
      <c r="A103" s="23" t="s">
        <v>177</v>
      </c>
      <c r="B103" s="24"/>
      <c r="C103" s="23" t="s">
        <v>65</v>
      </c>
      <c r="D103" s="24"/>
      <c r="E103" s="24"/>
    </row>
    <row r="104">
      <c r="A104" s="23" t="s">
        <v>178</v>
      </c>
      <c r="B104" s="24"/>
      <c r="C104" s="23" t="s">
        <v>65</v>
      </c>
      <c r="D104" s="24"/>
      <c r="E104" s="24"/>
    </row>
    <row r="105">
      <c r="A105" s="23" t="s">
        <v>179</v>
      </c>
      <c r="B105" s="24"/>
      <c r="C105" s="23" t="s">
        <v>65</v>
      </c>
      <c r="D105" s="24"/>
      <c r="E105" s="24"/>
    </row>
    <row r="106">
      <c r="A106" s="23" t="s">
        <v>180</v>
      </c>
      <c r="B106" s="24"/>
      <c r="C106" s="23" t="s">
        <v>65</v>
      </c>
      <c r="D106" s="24"/>
      <c r="E106" s="24"/>
    </row>
    <row r="107">
      <c r="A107" s="23" t="s">
        <v>181</v>
      </c>
      <c r="B107" s="24"/>
      <c r="C107" s="23" t="s">
        <v>65</v>
      </c>
      <c r="D107" s="24"/>
      <c r="E107" s="24"/>
    </row>
    <row r="108">
      <c r="A108" s="23" t="s">
        <v>182</v>
      </c>
      <c r="B108" s="24"/>
      <c r="C108" s="23" t="s">
        <v>65</v>
      </c>
      <c r="D108" s="24"/>
      <c r="E108" s="24"/>
    </row>
    <row r="109">
      <c r="A109" s="23" t="s">
        <v>183</v>
      </c>
      <c r="B109" s="24"/>
      <c r="C109" s="23" t="s">
        <v>65</v>
      </c>
      <c r="D109" s="24"/>
      <c r="E109" s="24"/>
    </row>
    <row r="110">
      <c r="A110" s="23" t="s">
        <v>184</v>
      </c>
      <c r="B110" s="24"/>
      <c r="C110" s="23" t="s">
        <v>65</v>
      </c>
      <c r="D110" s="24"/>
      <c r="E110" s="24"/>
    </row>
    <row r="111">
      <c r="A111" s="23" t="s">
        <v>185</v>
      </c>
      <c r="B111" s="24"/>
      <c r="C111" s="23" t="s">
        <v>65</v>
      </c>
      <c r="D111" s="24"/>
      <c r="E111" s="24"/>
    </row>
    <row r="112">
      <c r="A112" s="23" t="s">
        <v>186</v>
      </c>
      <c r="B112" s="24"/>
      <c r="C112" s="23" t="s">
        <v>65</v>
      </c>
      <c r="D112" s="24"/>
      <c r="E112" s="24"/>
    </row>
    <row r="113">
      <c r="A113" s="23" t="s">
        <v>187</v>
      </c>
      <c r="B113" s="24"/>
      <c r="C113" s="23" t="s">
        <v>65</v>
      </c>
      <c r="D113" s="24"/>
      <c r="E113" s="24"/>
    </row>
    <row r="114">
      <c r="A114" s="23" t="s">
        <v>188</v>
      </c>
      <c r="B114" s="24"/>
      <c r="C114" s="23" t="s">
        <v>65</v>
      </c>
      <c r="D114" s="24"/>
      <c r="E114" s="24"/>
    </row>
    <row r="115">
      <c r="A115" s="23" t="s">
        <v>189</v>
      </c>
      <c r="B115" s="24"/>
      <c r="C115" s="23" t="s">
        <v>65</v>
      </c>
      <c r="D115" s="24"/>
      <c r="E115" s="24"/>
    </row>
    <row r="116">
      <c r="A116" s="23" t="s">
        <v>190</v>
      </c>
      <c r="B116" s="24"/>
      <c r="C116" s="23" t="s">
        <v>65</v>
      </c>
      <c r="D116" s="24"/>
      <c r="E116" s="24"/>
    </row>
    <row r="117">
      <c r="A117" s="23" t="s">
        <v>191</v>
      </c>
      <c r="B117" s="24"/>
      <c r="C117" s="23" t="s">
        <v>65</v>
      </c>
      <c r="D117" s="24"/>
      <c r="E117" s="24"/>
    </row>
    <row r="118">
      <c r="A118" s="23" t="s">
        <v>192</v>
      </c>
      <c r="B118" s="24"/>
      <c r="C118" s="23" t="s">
        <v>65</v>
      </c>
      <c r="D118" s="24"/>
      <c r="E118" s="24"/>
    </row>
    <row r="119">
      <c r="A119" s="23" t="s">
        <v>193</v>
      </c>
      <c r="B119" s="24"/>
      <c r="C119" s="23" t="s">
        <v>65</v>
      </c>
      <c r="D119" s="24"/>
      <c r="E119" s="24"/>
    </row>
    <row r="120">
      <c r="A120" s="23" t="s">
        <v>194</v>
      </c>
      <c r="B120" s="24"/>
      <c r="C120" s="23" t="s">
        <v>65</v>
      </c>
      <c r="D120" s="24"/>
      <c r="E120" s="24"/>
    </row>
    <row r="121">
      <c r="A121" s="23" t="s">
        <v>195</v>
      </c>
      <c r="B121" s="24"/>
      <c r="C121" s="23" t="s">
        <v>65</v>
      </c>
      <c r="D121" s="24"/>
      <c r="E121" s="24"/>
    </row>
    <row r="122">
      <c r="A122" s="23" t="s">
        <v>196</v>
      </c>
      <c r="B122" s="24"/>
      <c r="C122" s="23" t="s">
        <v>65</v>
      </c>
      <c r="D122" s="24"/>
      <c r="E122" s="24"/>
    </row>
    <row r="123">
      <c r="A123" s="23" t="s">
        <v>197</v>
      </c>
      <c r="B123" s="24"/>
      <c r="C123" s="23" t="s">
        <v>65</v>
      </c>
      <c r="D123" s="24"/>
      <c r="E123" s="24"/>
    </row>
    <row r="124">
      <c r="A124" s="23" t="s">
        <v>198</v>
      </c>
      <c r="B124" s="24"/>
      <c r="C124" s="23" t="s">
        <v>65</v>
      </c>
      <c r="D124" s="24"/>
      <c r="E124" s="24"/>
    </row>
    <row r="125">
      <c r="A125" s="23" t="s">
        <v>199</v>
      </c>
      <c r="B125" s="24"/>
      <c r="C125" s="23" t="s">
        <v>65</v>
      </c>
      <c r="D125" s="24"/>
      <c r="E125" s="24"/>
    </row>
    <row r="126">
      <c r="A126" s="23" t="s">
        <v>200</v>
      </c>
      <c r="B126" s="24"/>
      <c r="C126" s="23" t="s">
        <v>65</v>
      </c>
      <c r="D126" s="24"/>
      <c r="E126" s="24"/>
    </row>
    <row r="127">
      <c r="A127" s="23" t="s">
        <v>201</v>
      </c>
      <c r="B127" s="24"/>
      <c r="C127" s="23" t="s">
        <v>65</v>
      </c>
      <c r="D127" s="24"/>
      <c r="E127" s="24"/>
    </row>
    <row r="128">
      <c r="A128" s="23" t="s">
        <v>202</v>
      </c>
      <c r="B128" s="24"/>
      <c r="C128" s="23" t="s">
        <v>65</v>
      </c>
      <c r="D128" s="24"/>
      <c r="E128" s="24"/>
    </row>
    <row r="129">
      <c r="A129" s="23" t="s">
        <v>203</v>
      </c>
      <c r="B129" s="24"/>
      <c r="C129" s="23" t="s">
        <v>65</v>
      </c>
      <c r="D129" s="24"/>
      <c r="E129" s="24"/>
    </row>
    <row r="130">
      <c r="A130" s="23" t="s">
        <v>204</v>
      </c>
      <c r="B130" s="24"/>
      <c r="C130" s="23" t="s">
        <v>65</v>
      </c>
      <c r="D130" s="24"/>
      <c r="E130" s="24"/>
    </row>
    <row r="131">
      <c r="A131" s="23" t="s">
        <v>205</v>
      </c>
      <c r="B131" s="24"/>
      <c r="C131" s="23" t="s">
        <v>65</v>
      </c>
      <c r="D131" s="24"/>
      <c r="E131" s="24"/>
    </row>
    <row r="132">
      <c r="A132" s="23" t="s">
        <v>206</v>
      </c>
      <c r="B132" s="24"/>
      <c r="C132" s="23" t="s">
        <v>65</v>
      </c>
      <c r="D132" s="24"/>
      <c r="E132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13"/>
    <col customWidth="1" min="2" max="2" width="9.5"/>
    <col customWidth="1" min="3" max="3" width="7.25"/>
    <col customWidth="1" min="4" max="4" width="10.5"/>
    <col customWidth="1" min="5" max="5" width="9.63"/>
    <col customWidth="1" min="6" max="6" width="9.75"/>
    <col customWidth="1" min="7" max="7" width="9.38"/>
    <col customWidth="1" min="8" max="8" width="8.13"/>
    <col customWidth="1" min="9" max="9" width="9.63"/>
    <col customWidth="1" min="10" max="10" width="8.75"/>
  </cols>
  <sheetData>
    <row r="1">
      <c r="A1" s="25" t="s">
        <v>207</v>
      </c>
      <c r="B1" s="26" t="s">
        <v>208</v>
      </c>
      <c r="C1" s="26" t="s">
        <v>209</v>
      </c>
      <c r="D1" s="26" t="s">
        <v>210</v>
      </c>
      <c r="E1" s="26" t="s">
        <v>211</v>
      </c>
      <c r="F1" s="26" t="s">
        <v>212</v>
      </c>
      <c r="G1" s="26" t="s">
        <v>213</v>
      </c>
      <c r="H1" s="26" t="s">
        <v>214</v>
      </c>
      <c r="I1" s="26" t="s">
        <v>215</v>
      </c>
      <c r="J1" s="26" t="s">
        <v>216</v>
      </c>
    </row>
    <row r="2">
      <c r="A2" s="5" t="s">
        <v>217</v>
      </c>
      <c r="B2" s="27">
        <v>1.0</v>
      </c>
      <c r="C2" s="27">
        <v>1.25</v>
      </c>
      <c r="D2" s="27">
        <v>1.5</v>
      </c>
      <c r="E2" s="27">
        <v>2.0</v>
      </c>
      <c r="F2" s="27">
        <v>3.0</v>
      </c>
      <c r="G2" s="27">
        <v>-1.0</v>
      </c>
      <c r="H2" s="27">
        <v>-1.25</v>
      </c>
      <c r="I2" s="27">
        <v>-1.5</v>
      </c>
      <c r="J2" s="27">
        <v>-2.0</v>
      </c>
    </row>
    <row r="3">
      <c r="A3" s="12">
        <v>1.0</v>
      </c>
      <c r="B3" s="28">
        <f t="shared" ref="B3:B74" si="1">ROUND(1/3.14159*DEGREES(ATAN(A3/31.4159))*4+5,0)</f>
        <v>7</v>
      </c>
      <c r="C3" s="28">
        <f t="shared" ref="C3:C74" si="2">ROUND(B3/2,0)</f>
        <v>4</v>
      </c>
      <c r="D3" s="28">
        <f t="shared" ref="D3:D74" si="3">ROUND($B3/4,0)</f>
        <v>2</v>
      </c>
      <c r="E3" s="28">
        <f t="shared" ref="E3:E74" si="4">ROUND($B3/10,0)</f>
        <v>1</v>
      </c>
      <c r="F3" s="28">
        <f t="shared" ref="F3:F74" si="5">ROUND($B3/100,0)</f>
        <v>0</v>
      </c>
      <c r="G3" s="29">
        <f t="shared" ref="G3:G74" si="6">50+$B3</f>
        <v>57</v>
      </c>
      <c r="H3" s="29">
        <f t="shared" ref="H3:H74" si="7">$B3+70</f>
        <v>77</v>
      </c>
      <c r="I3" s="29">
        <f t="shared" ref="I3:I74" si="8">$B3+90</f>
        <v>97</v>
      </c>
      <c r="J3" s="29">
        <f t="shared" ref="J3:J74" si="9">$B3+110</f>
        <v>117</v>
      </c>
    </row>
    <row r="4">
      <c r="A4">
        <v>2.0</v>
      </c>
      <c r="B4" s="28">
        <f t="shared" si="1"/>
        <v>10</v>
      </c>
      <c r="C4" s="28">
        <f t="shared" si="2"/>
        <v>5</v>
      </c>
      <c r="D4" s="28">
        <f t="shared" si="3"/>
        <v>3</v>
      </c>
      <c r="E4" s="28">
        <f t="shared" si="4"/>
        <v>1</v>
      </c>
      <c r="F4" s="28">
        <f t="shared" si="5"/>
        <v>0</v>
      </c>
      <c r="G4" s="29">
        <f t="shared" si="6"/>
        <v>60</v>
      </c>
      <c r="H4" s="29">
        <f t="shared" si="7"/>
        <v>80</v>
      </c>
      <c r="I4" s="29">
        <f t="shared" si="8"/>
        <v>100</v>
      </c>
      <c r="J4" s="29">
        <f t="shared" si="9"/>
        <v>120</v>
      </c>
    </row>
    <row r="5">
      <c r="A5">
        <v>3.0</v>
      </c>
      <c r="B5" s="28">
        <f t="shared" si="1"/>
        <v>12</v>
      </c>
      <c r="C5" s="28">
        <f t="shared" si="2"/>
        <v>6</v>
      </c>
      <c r="D5" s="28">
        <f t="shared" si="3"/>
        <v>3</v>
      </c>
      <c r="E5" s="28">
        <f t="shared" si="4"/>
        <v>1</v>
      </c>
      <c r="F5" s="28">
        <f t="shared" si="5"/>
        <v>0</v>
      </c>
      <c r="G5" s="29">
        <f t="shared" si="6"/>
        <v>62</v>
      </c>
      <c r="H5" s="29">
        <f t="shared" si="7"/>
        <v>82</v>
      </c>
      <c r="I5" s="29">
        <f t="shared" si="8"/>
        <v>102</v>
      </c>
      <c r="J5" s="29">
        <f t="shared" si="9"/>
        <v>122</v>
      </c>
    </row>
    <row r="6">
      <c r="A6">
        <v>4.0</v>
      </c>
      <c r="B6" s="28">
        <f t="shared" si="1"/>
        <v>14</v>
      </c>
      <c r="C6" s="28">
        <f t="shared" si="2"/>
        <v>7</v>
      </c>
      <c r="D6" s="28">
        <f t="shared" si="3"/>
        <v>4</v>
      </c>
      <c r="E6" s="28">
        <f t="shared" si="4"/>
        <v>1</v>
      </c>
      <c r="F6" s="28">
        <f t="shared" si="5"/>
        <v>0</v>
      </c>
      <c r="G6" s="29">
        <f t="shared" si="6"/>
        <v>64</v>
      </c>
      <c r="H6" s="29">
        <f t="shared" si="7"/>
        <v>84</v>
      </c>
      <c r="I6" s="29">
        <f t="shared" si="8"/>
        <v>104</v>
      </c>
      <c r="J6" s="29">
        <f t="shared" si="9"/>
        <v>124</v>
      </c>
    </row>
    <row r="7">
      <c r="A7">
        <v>5.0</v>
      </c>
      <c r="B7" s="28">
        <f t="shared" si="1"/>
        <v>17</v>
      </c>
      <c r="C7" s="28">
        <f t="shared" si="2"/>
        <v>9</v>
      </c>
      <c r="D7" s="28">
        <f t="shared" si="3"/>
        <v>4</v>
      </c>
      <c r="E7" s="28">
        <f t="shared" si="4"/>
        <v>2</v>
      </c>
      <c r="F7" s="28">
        <f t="shared" si="5"/>
        <v>0</v>
      </c>
      <c r="G7" s="29">
        <f t="shared" si="6"/>
        <v>67</v>
      </c>
      <c r="H7" s="29">
        <f t="shared" si="7"/>
        <v>87</v>
      </c>
      <c r="I7" s="29">
        <f t="shared" si="8"/>
        <v>107</v>
      </c>
      <c r="J7" s="29">
        <f t="shared" si="9"/>
        <v>127</v>
      </c>
    </row>
    <row r="8">
      <c r="A8">
        <v>6.0</v>
      </c>
      <c r="B8" s="28">
        <f t="shared" si="1"/>
        <v>19</v>
      </c>
      <c r="C8" s="28">
        <f t="shared" si="2"/>
        <v>10</v>
      </c>
      <c r="D8" s="28">
        <f t="shared" si="3"/>
        <v>5</v>
      </c>
      <c r="E8" s="28">
        <f t="shared" si="4"/>
        <v>2</v>
      </c>
      <c r="F8" s="28">
        <f t="shared" si="5"/>
        <v>0</v>
      </c>
      <c r="G8" s="29">
        <f t="shared" si="6"/>
        <v>69</v>
      </c>
      <c r="H8" s="29">
        <f t="shared" si="7"/>
        <v>89</v>
      </c>
      <c r="I8" s="29">
        <f t="shared" si="8"/>
        <v>109</v>
      </c>
      <c r="J8" s="29">
        <f t="shared" si="9"/>
        <v>129</v>
      </c>
    </row>
    <row r="9">
      <c r="A9">
        <v>7.0</v>
      </c>
      <c r="B9" s="28">
        <f t="shared" si="1"/>
        <v>21</v>
      </c>
      <c r="C9" s="28">
        <f t="shared" si="2"/>
        <v>11</v>
      </c>
      <c r="D9" s="28">
        <f t="shared" si="3"/>
        <v>5</v>
      </c>
      <c r="E9" s="28">
        <f t="shared" si="4"/>
        <v>2</v>
      </c>
      <c r="F9" s="28">
        <f t="shared" si="5"/>
        <v>0</v>
      </c>
      <c r="G9" s="29">
        <f t="shared" si="6"/>
        <v>71</v>
      </c>
      <c r="H9" s="29">
        <f t="shared" si="7"/>
        <v>91</v>
      </c>
      <c r="I9" s="29">
        <f t="shared" si="8"/>
        <v>111</v>
      </c>
      <c r="J9" s="29">
        <f t="shared" si="9"/>
        <v>131</v>
      </c>
    </row>
    <row r="10">
      <c r="A10">
        <v>8.0</v>
      </c>
      <c r="B10" s="28">
        <f t="shared" si="1"/>
        <v>23</v>
      </c>
      <c r="C10" s="28">
        <f t="shared" si="2"/>
        <v>12</v>
      </c>
      <c r="D10" s="28">
        <f t="shared" si="3"/>
        <v>6</v>
      </c>
      <c r="E10" s="28">
        <f t="shared" si="4"/>
        <v>2</v>
      </c>
      <c r="F10" s="28">
        <f t="shared" si="5"/>
        <v>0</v>
      </c>
      <c r="G10" s="29">
        <f t="shared" si="6"/>
        <v>73</v>
      </c>
      <c r="H10" s="29">
        <f t="shared" si="7"/>
        <v>93</v>
      </c>
      <c r="I10" s="29">
        <f t="shared" si="8"/>
        <v>113</v>
      </c>
      <c r="J10" s="29">
        <f t="shared" si="9"/>
        <v>133</v>
      </c>
    </row>
    <row r="11">
      <c r="A11">
        <v>9.0</v>
      </c>
      <c r="B11" s="28">
        <f t="shared" si="1"/>
        <v>25</v>
      </c>
      <c r="C11" s="28">
        <f t="shared" si="2"/>
        <v>13</v>
      </c>
      <c r="D11" s="28">
        <f t="shared" si="3"/>
        <v>6</v>
      </c>
      <c r="E11" s="28">
        <f t="shared" si="4"/>
        <v>3</v>
      </c>
      <c r="F11" s="28">
        <f t="shared" si="5"/>
        <v>0</v>
      </c>
      <c r="G11" s="29">
        <f t="shared" si="6"/>
        <v>75</v>
      </c>
      <c r="H11" s="29">
        <f t="shared" si="7"/>
        <v>95</v>
      </c>
      <c r="I11" s="29">
        <f t="shared" si="8"/>
        <v>115</v>
      </c>
      <c r="J11" s="29">
        <f t="shared" si="9"/>
        <v>135</v>
      </c>
    </row>
    <row r="12">
      <c r="A12">
        <v>10.0</v>
      </c>
      <c r="B12" s="28">
        <f t="shared" si="1"/>
        <v>27</v>
      </c>
      <c r="C12" s="28">
        <f t="shared" si="2"/>
        <v>14</v>
      </c>
      <c r="D12" s="28">
        <f t="shared" si="3"/>
        <v>7</v>
      </c>
      <c r="E12" s="28">
        <f t="shared" si="4"/>
        <v>3</v>
      </c>
      <c r="F12" s="28">
        <f t="shared" si="5"/>
        <v>0</v>
      </c>
      <c r="G12" s="29">
        <f t="shared" si="6"/>
        <v>77</v>
      </c>
      <c r="H12" s="29">
        <f t="shared" si="7"/>
        <v>97</v>
      </c>
      <c r="I12" s="29">
        <f t="shared" si="8"/>
        <v>117</v>
      </c>
      <c r="J12" s="29">
        <f t="shared" si="9"/>
        <v>137</v>
      </c>
    </row>
    <row r="13">
      <c r="A13">
        <v>11.0</v>
      </c>
      <c r="B13" s="28">
        <f t="shared" si="1"/>
        <v>30</v>
      </c>
      <c r="C13" s="28">
        <f t="shared" si="2"/>
        <v>15</v>
      </c>
      <c r="D13" s="28">
        <f t="shared" si="3"/>
        <v>8</v>
      </c>
      <c r="E13" s="28">
        <f t="shared" si="4"/>
        <v>3</v>
      </c>
      <c r="F13" s="28">
        <f t="shared" si="5"/>
        <v>0</v>
      </c>
      <c r="G13" s="29">
        <f t="shared" si="6"/>
        <v>80</v>
      </c>
      <c r="H13" s="29">
        <f t="shared" si="7"/>
        <v>100</v>
      </c>
      <c r="I13" s="29">
        <f t="shared" si="8"/>
        <v>120</v>
      </c>
      <c r="J13" s="29">
        <f t="shared" si="9"/>
        <v>140</v>
      </c>
    </row>
    <row r="14">
      <c r="A14">
        <v>12.0</v>
      </c>
      <c r="B14" s="28">
        <f t="shared" si="1"/>
        <v>32</v>
      </c>
      <c r="C14" s="28">
        <f t="shared" si="2"/>
        <v>16</v>
      </c>
      <c r="D14" s="28">
        <f t="shared" si="3"/>
        <v>8</v>
      </c>
      <c r="E14" s="28">
        <f t="shared" si="4"/>
        <v>3</v>
      </c>
      <c r="F14" s="28">
        <f t="shared" si="5"/>
        <v>0</v>
      </c>
      <c r="G14" s="29">
        <f t="shared" si="6"/>
        <v>82</v>
      </c>
      <c r="H14" s="29">
        <f t="shared" si="7"/>
        <v>102</v>
      </c>
      <c r="I14" s="29">
        <f t="shared" si="8"/>
        <v>122</v>
      </c>
      <c r="J14" s="29">
        <f t="shared" si="9"/>
        <v>142</v>
      </c>
    </row>
    <row r="15">
      <c r="A15">
        <v>13.0</v>
      </c>
      <c r="B15" s="28">
        <f t="shared" si="1"/>
        <v>34</v>
      </c>
      <c r="C15" s="28">
        <f t="shared" si="2"/>
        <v>17</v>
      </c>
      <c r="D15" s="28">
        <f t="shared" si="3"/>
        <v>9</v>
      </c>
      <c r="E15" s="28">
        <f t="shared" si="4"/>
        <v>3</v>
      </c>
      <c r="F15" s="28">
        <f t="shared" si="5"/>
        <v>0</v>
      </c>
      <c r="G15" s="29">
        <f t="shared" si="6"/>
        <v>84</v>
      </c>
      <c r="H15" s="29">
        <f t="shared" si="7"/>
        <v>104</v>
      </c>
      <c r="I15" s="29">
        <f t="shared" si="8"/>
        <v>124</v>
      </c>
      <c r="J15" s="29">
        <f t="shared" si="9"/>
        <v>144</v>
      </c>
    </row>
    <row r="16">
      <c r="A16">
        <v>14.0</v>
      </c>
      <c r="B16" s="28">
        <f t="shared" si="1"/>
        <v>36</v>
      </c>
      <c r="C16" s="28">
        <f t="shared" si="2"/>
        <v>18</v>
      </c>
      <c r="D16" s="28">
        <f t="shared" si="3"/>
        <v>9</v>
      </c>
      <c r="E16" s="28">
        <f t="shared" si="4"/>
        <v>4</v>
      </c>
      <c r="F16" s="28">
        <f t="shared" si="5"/>
        <v>0</v>
      </c>
      <c r="G16" s="29">
        <f t="shared" si="6"/>
        <v>86</v>
      </c>
      <c r="H16" s="29">
        <f t="shared" si="7"/>
        <v>106</v>
      </c>
      <c r="I16" s="29">
        <f t="shared" si="8"/>
        <v>126</v>
      </c>
      <c r="J16" s="29">
        <f t="shared" si="9"/>
        <v>146</v>
      </c>
    </row>
    <row r="17">
      <c r="A17">
        <v>15.0</v>
      </c>
      <c r="B17" s="28">
        <f t="shared" si="1"/>
        <v>37</v>
      </c>
      <c r="C17" s="28">
        <f t="shared" si="2"/>
        <v>19</v>
      </c>
      <c r="D17" s="28">
        <f t="shared" si="3"/>
        <v>9</v>
      </c>
      <c r="E17" s="28">
        <f t="shared" si="4"/>
        <v>4</v>
      </c>
      <c r="F17" s="28">
        <f t="shared" si="5"/>
        <v>0</v>
      </c>
      <c r="G17" s="29">
        <f t="shared" si="6"/>
        <v>87</v>
      </c>
      <c r="H17" s="29">
        <f t="shared" si="7"/>
        <v>107</v>
      </c>
      <c r="I17" s="29">
        <f t="shared" si="8"/>
        <v>127</v>
      </c>
      <c r="J17" s="29">
        <f t="shared" si="9"/>
        <v>147</v>
      </c>
    </row>
    <row r="18">
      <c r="A18">
        <v>16.0</v>
      </c>
      <c r="B18" s="28">
        <f t="shared" si="1"/>
        <v>39</v>
      </c>
      <c r="C18" s="28">
        <f t="shared" si="2"/>
        <v>20</v>
      </c>
      <c r="D18" s="28">
        <f t="shared" si="3"/>
        <v>10</v>
      </c>
      <c r="E18" s="28">
        <f t="shared" si="4"/>
        <v>4</v>
      </c>
      <c r="F18" s="28">
        <f t="shared" si="5"/>
        <v>0</v>
      </c>
      <c r="G18" s="29">
        <f t="shared" si="6"/>
        <v>89</v>
      </c>
      <c r="H18" s="29">
        <f t="shared" si="7"/>
        <v>109</v>
      </c>
      <c r="I18" s="29">
        <f t="shared" si="8"/>
        <v>129</v>
      </c>
      <c r="J18" s="29">
        <f t="shared" si="9"/>
        <v>149</v>
      </c>
    </row>
    <row r="19">
      <c r="A19">
        <v>17.0</v>
      </c>
      <c r="B19" s="28">
        <f t="shared" si="1"/>
        <v>41</v>
      </c>
      <c r="C19" s="28">
        <f t="shared" si="2"/>
        <v>21</v>
      </c>
      <c r="D19" s="28">
        <f t="shared" si="3"/>
        <v>10</v>
      </c>
      <c r="E19" s="28">
        <f t="shared" si="4"/>
        <v>4</v>
      </c>
      <c r="F19" s="28">
        <f t="shared" si="5"/>
        <v>0</v>
      </c>
      <c r="G19" s="29">
        <f t="shared" si="6"/>
        <v>91</v>
      </c>
      <c r="H19" s="29">
        <f t="shared" si="7"/>
        <v>111</v>
      </c>
      <c r="I19" s="29">
        <f t="shared" si="8"/>
        <v>131</v>
      </c>
      <c r="J19" s="29">
        <f t="shared" si="9"/>
        <v>151</v>
      </c>
    </row>
    <row r="20">
      <c r="A20">
        <v>18.0</v>
      </c>
      <c r="B20" s="28">
        <f t="shared" si="1"/>
        <v>43</v>
      </c>
      <c r="C20" s="28">
        <f t="shared" si="2"/>
        <v>22</v>
      </c>
      <c r="D20" s="28">
        <f t="shared" si="3"/>
        <v>11</v>
      </c>
      <c r="E20" s="28">
        <f t="shared" si="4"/>
        <v>4</v>
      </c>
      <c r="F20" s="28">
        <f t="shared" si="5"/>
        <v>0</v>
      </c>
      <c r="G20" s="29">
        <f t="shared" si="6"/>
        <v>93</v>
      </c>
      <c r="H20" s="29">
        <f t="shared" si="7"/>
        <v>113</v>
      </c>
      <c r="I20" s="29">
        <f t="shared" si="8"/>
        <v>133</v>
      </c>
      <c r="J20" s="29">
        <f t="shared" si="9"/>
        <v>153</v>
      </c>
    </row>
    <row r="21">
      <c r="A21">
        <v>19.0</v>
      </c>
      <c r="B21" s="28">
        <f t="shared" si="1"/>
        <v>45</v>
      </c>
      <c r="C21" s="28">
        <f t="shared" si="2"/>
        <v>23</v>
      </c>
      <c r="D21" s="28">
        <f t="shared" si="3"/>
        <v>11</v>
      </c>
      <c r="E21" s="28">
        <f t="shared" si="4"/>
        <v>5</v>
      </c>
      <c r="F21" s="28">
        <f t="shared" si="5"/>
        <v>0</v>
      </c>
      <c r="G21" s="29">
        <f t="shared" si="6"/>
        <v>95</v>
      </c>
      <c r="H21" s="29">
        <f t="shared" si="7"/>
        <v>115</v>
      </c>
      <c r="I21" s="29">
        <f t="shared" si="8"/>
        <v>135</v>
      </c>
      <c r="J21" s="29">
        <f t="shared" si="9"/>
        <v>155</v>
      </c>
    </row>
    <row r="22">
      <c r="A22">
        <v>20.0</v>
      </c>
      <c r="B22" s="28">
        <f t="shared" si="1"/>
        <v>46</v>
      </c>
      <c r="C22" s="28">
        <f t="shared" si="2"/>
        <v>23</v>
      </c>
      <c r="D22" s="28">
        <f t="shared" si="3"/>
        <v>12</v>
      </c>
      <c r="E22" s="28">
        <f t="shared" si="4"/>
        <v>5</v>
      </c>
      <c r="F22" s="28">
        <f t="shared" si="5"/>
        <v>0</v>
      </c>
      <c r="G22" s="29">
        <f t="shared" si="6"/>
        <v>96</v>
      </c>
      <c r="H22" s="29">
        <f t="shared" si="7"/>
        <v>116</v>
      </c>
      <c r="I22" s="29">
        <f t="shared" si="8"/>
        <v>136</v>
      </c>
      <c r="J22" s="29">
        <f t="shared" si="9"/>
        <v>156</v>
      </c>
    </row>
    <row r="23">
      <c r="A23">
        <v>21.0</v>
      </c>
      <c r="B23" s="28">
        <f t="shared" si="1"/>
        <v>48</v>
      </c>
      <c r="C23" s="28">
        <f t="shared" si="2"/>
        <v>24</v>
      </c>
      <c r="D23" s="28">
        <f t="shared" si="3"/>
        <v>12</v>
      </c>
      <c r="E23" s="28">
        <f t="shared" si="4"/>
        <v>5</v>
      </c>
      <c r="F23" s="28">
        <f t="shared" si="5"/>
        <v>0</v>
      </c>
      <c r="G23" s="29">
        <f t="shared" si="6"/>
        <v>98</v>
      </c>
      <c r="H23" s="29">
        <f t="shared" si="7"/>
        <v>118</v>
      </c>
      <c r="I23" s="29">
        <f t="shared" si="8"/>
        <v>138</v>
      </c>
      <c r="J23" s="29">
        <f t="shared" si="9"/>
        <v>158</v>
      </c>
    </row>
    <row r="24">
      <c r="A24">
        <v>22.0</v>
      </c>
      <c r="B24" s="28">
        <f t="shared" si="1"/>
        <v>50</v>
      </c>
      <c r="C24" s="28">
        <f t="shared" si="2"/>
        <v>25</v>
      </c>
      <c r="D24" s="28">
        <f t="shared" si="3"/>
        <v>13</v>
      </c>
      <c r="E24" s="28">
        <f t="shared" si="4"/>
        <v>5</v>
      </c>
      <c r="F24" s="28">
        <f t="shared" si="5"/>
        <v>1</v>
      </c>
      <c r="G24" s="29">
        <f t="shared" si="6"/>
        <v>100</v>
      </c>
      <c r="H24" s="29">
        <f t="shared" si="7"/>
        <v>120</v>
      </c>
      <c r="I24" s="29">
        <f t="shared" si="8"/>
        <v>140</v>
      </c>
      <c r="J24" s="29">
        <f t="shared" si="9"/>
        <v>160</v>
      </c>
    </row>
    <row r="25">
      <c r="A25">
        <v>23.0</v>
      </c>
      <c r="B25" s="28">
        <f t="shared" si="1"/>
        <v>51</v>
      </c>
      <c r="C25" s="28">
        <f t="shared" si="2"/>
        <v>26</v>
      </c>
      <c r="D25" s="28">
        <f t="shared" si="3"/>
        <v>13</v>
      </c>
      <c r="E25" s="28">
        <f t="shared" si="4"/>
        <v>5</v>
      </c>
      <c r="F25" s="28">
        <f t="shared" si="5"/>
        <v>1</v>
      </c>
      <c r="G25" s="29">
        <f t="shared" si="6"/>
        <v>101</v>
      </c>
      <c r="H25" s="29">
        <f t="shared" si="7"/>
        <v>121</v>
      </c>
      <c r="I25" s="29">
        <f t="shared" si="8"/>
        <v>141</v>
      </c>
      <c r="J25" s="29">
        <f t="shared" si="9"/>
        <v>161</v>
      </c>
    </row>
    <row r="26">
      <c r="A26">
        <v>24.0</v>
      </c>
      <c r="B26" s="28">
        <f t="shared" si="1"/>
        <v>53</v>
      </c>
      <c r="C26" s="28">
        <f t="shared" si="2"/>
        <v>27</v>
      </c>
      <c r="D26" s="28">
        <f t="shared" si="3"/>
        <v>13</v>
      </c>
      <c r="E26" s="28">
        <f t="shared" si="4"/>
        <v>5</v>
      </c>
      <c r="F26" s="28">
        <f t="shared" si="5"/>
        <v>1</v>
      </c>
      <c r="G26" s="29">
        <f t="shared" si="6"/>
        <v>103</v>
      </c>
      <c r="H26" s="29">
        <f t="shared" si="7"/>
        <v>123</v>
      </c>
      <c r="I26" s="29">
        <f t="shared" si="8"/>
        <v>143</v>
      </c>
      <c r="J26" s="29">
        <f t="shared" si="9"/>
        <v>163</v>
      </c>
    </row>
    <row r="27">
      <c r="A27">
        <v>25.0</v>
      </c>
      <c r="B27" s="28">
        <f t="shared" si="1"/>
        <v>54</v>
      </c>
      <c r="C27" s="28">
        <f t="shared" si="2"/>
        <v>27</v>
      </c>
      <c r="D27" s="28">
        <f t="shared" si="3"/>
        <v>14</v>
      </c>
      <c r="E27" s="28">
        <f t="shared" si="4"/>
        <v>5</v>
      </c>
      <c r="F27" s="28">
        <f t="shared" si="5"/>
        <v>1</v>
      </c>
      <c r="G27" s="29">
        <f t="shared" si="6"/>
        <v>104</v>
      </c>
      <c r="H27" s="29">
        <f t="shared" si="7"/>
        <v>124</v>
      </c>
      <c r="I27" s="29">
        <f t="shared" si="8"/>
        <v>144</v>
      </c>
      <c r="J27" s="29">
        <f t="shared" si="9"/>
        <v>164</v>
      </c>
    </row>
    <row r="28">
      <c r="A28">
        <v>26.0</v>
      </c>
      <c r="B28" s="28">
        <f t="shared" si="1"/>
        <v>55</v>
      </c>
      <c r="C28" s="28">
        <f t="shared" si="2"/>
        <v>28</v>
      </c>
      <c r="D28" s="28">
        <f t="shared" si="3"/>
        <v>14</v>
      </c>
      <c r="E28" s="28">
        <f t="shared" si="4"/>
        <v>6</v>
      </c>
      <c r="F28" s="28">
        <f t="shared" si="5"/>
        <v>1</v>
      </c>
      <c r="G28" s="29">
        <f t="shared" si="6"/>
        <v>105</v>
      </c>
      <c r="H28" s="29">
        <f t="shared" si="7"/>
        <v>125</v>
      </c>
      <c r="I28" s="29">
        <f t="shared" si="8"/>
        <v>145</v>
      </c>
      <c r="J28" s="29">
        <f t="shared" si="9"/>
        <v>165</v>
      </c>
    </row>
    <row r="29">
      <c r="A29">
        <v>27.0</v>
      </c>
      <c r="B29" s="28">
        <f t="shared" si="1"/>
        <v>57</v>
      </c>
      <c r="C29" s="28">
        <f t="shared" si="2"/>
        <v>29</v>
      </c>
      <c r="D29" s="28">
        <f t="shared" si="3"/>
        <v>14</v>
      </c>
      <c r="E29" s="28">
        <f t="shared" si="4"/>
        <v>6</v>
      </c>
      <c r="F29" s="28">
        <f t="shared" si="5"/>
        <v>1</v>
      </c>
      <c r="G29" s="29">
        <f t="shared" si="6"/>
        <v>107</v>
      </c>
      <c r="H29" s="29">
        <f t="shared" si="7"/>
        <v>127</v>
      </c>
      <c r="I29" s="29">
        <f t="shared" si="8"/>
        <v>147</v>
      </c>
      <c r="J29" s="29">
        <f t="shared" si="9"/>
        <v>167</v>
      </c>
    </row>
    <row r="30">
      <c r="A30">
        <v>28.0</v>
      </c>
      <c r="B30" s="28">
        <f t="shared" si="1"/>
        <v>58</v>
      </c>
      <c r="C30" s="28">
        <f t="shared" si="2"/>
        <v>29</v>
      </c>
      <c r="D30" s="28">
        <f t="shared" si="3"/>
        <v>15</v>
      </c>
      <c r="E30" s="28">
        <f t="shared" si="4"/>
        <v>6</v>
      </c>
      <c r="F30" s="28">
        <f t="shared" si="5"/>
        <v>1</v>
      </c>
      <c r="G30" s="29">
        <f t="shared" si="6"/>
        <v>108</v>
      </c>
      <c r="H30" s="29">
        <f t="shared" si="7"/>
        <v>128</v>
      </c>
      <c r="I30" s="29">
        <f t="shared" si="8"/>
        <v>148</v>
      </c>
      <c r="J30" s="29">
        <f t="shared" si="9"/>
        <v>168</v>
      </c>
    </row>
    <row r="31">
      <c r="A31">
        <v>29.0</v>
      </c>
      <c r="B31" s="28">
        <f t="shared" si="1"/>
        <v>59</v>
      </c>
      <c r="C31" s="28">
        <f t="shared" si="2"/>
        <v>30</v>
      </c>
      <c r="D31" s="28">
        <f t="shared" si="3"/>
        <v>15</v>
      </c>
      <c r="E31" s="28">
        <f t="shared" si="4"/>
        <v>6</v>
      </c>
      <c r="F31" s="28">
        <f t="shared" si="5"/>
        <v>1</v>
      </c>
      <c r="G31" s="29">
        <f t="shared" si="6"/>
        <v>109</v>
      </c>
      <c r="H31" s="29">
        <f t="shared" si="7"/>
        <v>129</v>
      </c>
      <c r="I31" s="29">
        <f t="shared" si="8"/>
        <v>149</v>
      </c>
      <c r="J31" s="29">
        <f t="shared" si="9"/>
        <v>169</v>
      </c>
    </row>
    <row r="32">
      <c r="A32">
        <v>30.0</v>
      </c>
      <c r="B32" s="28">
        <f t="shared" si="1"/>
        <v>61</v>
      </c>
      <c r="C32" s="28">
        <f t="shared" si="2"/>
        <v>31</v>
      </c>
      <c r="D32" s="28">
        <f t="shared" si="3"/>
        <v>15</v>
      </c>
      <c r="E32" s="28">
        <f t="shared" si="4"/>
        <v>6</v>
      </c>
      <c r="F32" s="28">
        <f t="shared" si="5"/>
        <v>1</v>
      </c>
      <c r="G32" s="29">
        <f t="shared" si="6"/>
        <v>111</v>
      </c>
      <c r="H32" s="29">
        <f t="shared" si="7"/>
        <v>131</v>
      </c>
      <c r="I32" s="29">
        <f t="shared" si="8"/>
        <v>151</v>
      </c>
      <c r="J32" s="29">
        <f t="shared" si="9"/>
        <v>171</v>
      </c>
    </row>
    <row r="33">
      <c r="A33">
        <v>31.0</v>
      </c>
      <c r="B33" s="28">
        <f t="shared" si="1"/>
        <v>62</v>
      </c>
      <c r="C33" s="28">
        <f t="shared" si="2"/>
        <v>31</v>
      </c>
      <c r="D33" s="28">
        <f t="shared" si="3"/>
        <v>16</v>
      </c>
      <c r="E33" s="28">
        <f t="shared" si="4"/>
        <v>6</v>
      </c>
      <c r="F33" s="28">
        <f t="shared" si="5"/>
        <v>1</v>
      </c>
      <c r="G33" s="29">
        <f t="shared" si="6"/>
        <v>112</v>
      </c>
      <c r="H33" s="29">
        <f t="shared" si="7"/>
        <v>132</v>
      </c>
      <c r="I33" s="29">
        <f t="shared" si="8"/>
        <v>152</v>
      </c>
      <c r="J33" s="29">
        <f t="shared" si="9"/>
        <v>172</v>
      </c>
    </row>
    <row r="34">
      <c r="A34">
        <v>32.0</v>
      </c>
      <c r="B34" s="28">
        <f t="shared" si="1"/>
        <v>63</v>
      </c>
      <c r="C34" s="28">
        <f t="shared" si="2"/>
        <v>32</v>
      </c>
      <c r="D34" s="28">
        <f t="shared" si="3"/>
        <v>16</v>
      </c>
      <c r="E34" s="28">
        <f t="shared" si="4"/>
        <v>6</v>
      </c>
      <c r="F34" s="28">
        <f t="shared" si="5"/>
        <v>1</v>
      </c>
      <c r="G34" s="29">
        <f t="shared" si="6"/>
        <v>113</v>
      </c>
      <c r="H34" s="29">
        <f t="shared" si="7"/>
        <v>133</v>
      </c>
      <c r="I34" s="29">
        <f t="shared" si="8"/>
        <v>153</v>
      </c>
      <c r="J34" s="29">
        <f t="shared" si="9"/>
        <v>173</v>
      </c>
    </row>
    <row r="35">
      <c r="A35">
        <v>33.0</v>
      </c>
      <c r="B35" s="28">
        <f t="shared" si="1"/>
        <v>64</v>
      </c>
      <c r="C35" s="28">
        <f t="shared" si="2"/>
        <v>32</v>
      </c>
      <c r="D35" s="28">
        <f t="shared" si="3"/>
        <v>16</v>
      </c>
      <c r="E35" s="28">
        <f t="shared" si="4"/>
        <v>6</v>
      </c>
      <c r="F35" s="28">
        <f t="shared" si="5"/>
        <v>1</v>
      </c>
      <c r="G35" s="29">
        <f t="shared" si="6"/>
        <v>114</v>
      </c>
      <c r="H35" s="29">
        <f t="shared" si="7"/>
        <v>134</v>
      </c>
      <c r="I35" s="29">
        <f t="shared" si="8"/>
        <v>154</v>
      </c>
      <c r="J35" s="29">
        <f t="shared" si="9"/>
        <v>174</v>
      </c>
    </row>
    <row r="36">
      <c r="A36">
        <v>34.0</v>
      </c>
      <c r="B36" s="28">
        <f t="shared" si="1"/>
        <v>65</v>
      </c>
      <c r="C36" s="28">
        <f t="shared" si="2"/>
        <v>33</v>
      </c>
      <c r="D36" s="28">
        <f t="shared" si="3"/>
        <v>16</v>
      </c>
      <c r="E36" s="28">
        <f t="shared" si="4"/>
        <v>7</v>
      </c>
      <c r="F36" s="28">
        <f t="shared" si="5"/>
        <v>1</v>
      </c>
      <c r="G36" s="29">
        <f t="shared" si="6"/>
        <v>115</v>
      </c>
      <c r="H36" s="29">
        <f t="shared" si="7"/>
        <v>135</v>
      </c>
      <c r="I36" s="29">
        <f t="shared" si="8"/>
        <v>155</v>
      </c>
      <c r="J36" s="29">
        <f t="shared" si="9"/>
        <v>175</v>
      </c>
    </row>
    <row r="37">
      <c r="A37">
        <v>35.0</v>
      </c>
      <c r="B37" s="28">
        <f t="shared" si="1"/>
        <v>66</v>
      </c>
      <c r="C37" s="28">
        <f t="shared" si="2"/>
        <v>33</v>
      </c>
      <c r="D37" s="28">
        <f t="shared" si="3"/>
        <v>17</v>
      </c>
      <c r="E37" s="28">
        <f t="shared" si="4"/>
        <v>7</v>
      </c>
      <c r="F37" s="28">
        <f t="shared" si="5"/>
        <v>1</v>
      </c>
      <c r="G37" s="29">
        <f t="shared" si="6"/>
        <v>116</v>
      </c>
      <c r="H37" s="29">
        <f t="shared" si="7"/>
        <v>136</v>
      </c>
      <c r="I37" s="29">
        <f t="shared" si="8"/>
        <v>156</v>
      </c>
      <c r="J37" s="29">
        <f t="shared" si="9"/>
        <v>176</v>
      </c>
    </row>
    <row r="38">
      <c r="A38">
        <v>36.0</v>
      </c>
      <c r="B38" s="28">
        <f t="shared" si="1"/>
        <v>67</v>
      </c>
      <c r="C38" s="28">
        <f t="shared" si="2"/>
        <v>34</v>
      </c>
      <c r="D38" s="28">
        <f t="shared" si="3"/>
        <v>17</v>
      </c>
      <c r="E38" s="28">
        <f t="shared" si="4"/>
        <v>7</v>
      </c>
      <c r="F38" s="28">
        <f t="shared" si="5"/>
        <v>1</v>
      </c>
      <c r="G38" s="29">
        <f t="shared" si="6"/>
        <v>117</v>
      </c>
      <c r="H38" s="29">
        <f t="shared" si="7"/>
        <v>137</v>
      </c>
      <c r="I38" s="29">
        <f t="shared" si="8"/>
        <v>157</v>
      </c>
      <c r="J38" s="29">
        <f t="shared" si="9"/>
        <v>177</v>
      </c>
    </row>
    <row r="39">
      <c r="A39">
        <v>37.0</v>
      </c>
      <c r="B39" s="28">
        <f t="shared" si="1"/>
        <v>68</v>
      </c>
      <c r="C39" s="28">
        <f t="shared" si="2"/>
        <v>34</v>
      </c>
      <c r="D39" s="28">
        <f t="shared" si="3"/>
        <v>17</v>
      </c>
      <c r="E39" s="28">
        <f t="shared" si="4"/>
        <v>7</v>
      </c>
      <c r="F39" s="28">
        <f t="shared" si="5"/>
        <v>1</v>
      </c>
      <c r="G39" s="29">
        <f t="shared" si="6"/>
        <v>118</v>
      </c>
      <c r="H39" s="29">
        <f t="shared" si="7"/>
        <v>138</v>
      </c>
      <c r="I39" s="29">
        <f t="shared" si="8"/>
        <v>158</v>
      </c>
      <c r="J39" s="29">
        <f t="shared" si="9"/>
        <v>178</v>
      </c>
    </row>
    <row r="40">
      <c r="A40">
        <v>38.0</v>
      </c>
      <c r="B40" s="28">
        <f t="shared" si="1"/>
        <v>69</v>
      </c>
      <c r="C40" s="28">
        <f t="shared" si="2"/>
        <v>35</v>
      </c>
      <c r="D40" s="28">
        <f t="shared" si="3"/>
        <v>17</v>
      </c>
      <c r="E40" s="28">
        <f t="shared" si="4"/>
        <v>7</v>
      </c>
      <c r="F40" s="28">
        <f t="shared" si="5"/>
        <v>1</v>
      </c>
      <c r="G40" s="29">
        <f t="shared" si="6"/>
        <v>119</v>
      </c>
      <c r="H40" s="29">
        <f t="shared" si="7"/>
        <v>139</v>
      </c>
      <c r="I40" s="29">
        <f t="shared" si="8"/>
        <v>159</v>
      </c>
      <c r="J40" s="29">
        <f t="shared" si="9"/>
        <v>179</v>
      </c>
    </row>
    <row r="41">
      <c r="A41">
        <v>39.0</v>
      </c>
      <c r="B41" s="28">
        <f t="shared" si="1"/>
        <v>70</v>
      </c>
      <c r="C41" s="28">
        <f t="shared" si="2"/>
        <v>35</v>
      </c>
      <c r="D41" s="28">
        <f t="shared" si="3"/>
        <v>18</v>
      </c>
      <c r="E41" s="28">
        <f t="shared" si="4"/>
        <v>7</v>
      </c>
      <c r="F41" s="28">
        <f t="shared" si="5"/>
        <v>1</v>
      </c>
      <c r="G41" s="29">
        <f t="shared" si="6"/>
        <v>120</v>
      </c>
      <c r="H41" s="29">
        <f t="shared" si="7"/>
        <v>140</v>
      </c>
      <c r="I41" s="29">
        <f t="shared" si="8"/>
        <v>160</v>
      </c>
      <c r="J41" s="29">
        <f t="shared" si="9"/>
        <v>180</v>
      </c>
    </row>
    <row r="42">
      <c r="A42">
        <v>40.0</v>
      </c>
      <c r="B42" s="28">
        <f t="shared" si="1"/>
        <v>71</v>
      </c>
      <c r="C42" s="28">
        <f t="shared" si="2"/>
        <v>36</v>
      </c>
      <c r="D42" s="28">
        <f t="shared" si="3"/>
        <v>18</v>
      </c>
      <c r="E42" s="28">
        <f t="shared" si="4"/>
        <v>7</v>
      </c>
      <c r="F42" s="28">
        <f t="shared" si="5"/>
        <v>1</v>
      </c>
      <c r="G42" s="29">
        <f t="shared" si="6"/>
        <v>121</v>
      </c>
      <c r="H42" s="29">
        <f t="shared" si="7"/>
        <v>141</v>
      </c>
      <c r="I42" s="29">
        <f t="shared" si="8"/>
        <v>161</v>
      </c>
      <c r="J42" s="29">
        <f t="shared" si="9"/>
        <v>181</v>
      </c>
    </row>
    <row r="43">
      <c r="A43">
        <v>41.0</v>
      </c>
      <c r="B43" s="28">
        <f t="shared" si="1"/>
        <v>72</v>
      </c>
      <c r="C43" s="28">
        <f t="shared" si="2"/>
        <v>36</v>
      </c>
      <c r="D43" s="28">
        <f t="shared" si="3"/>
        <v>18</v>
      </c>
      <c r="E43" s="28">
        <f t="shared" si="4"/>
        <v>7</v>
      </c>
      <c r="F43" s="28">
        <f t="shared" si="5"/>
        <v>1</v>
      </c>
      <c r="G43" s="29">
        <f t="shared" si="6"/>
        <v>122</v>
      </c>
      <c r="H43" s="29">
        <f t="shared" si="7"/>
        <v>142</v>
      </c>
      <c r="I43" s="29">
        <f t="shared" si="8"/>
        <v>162</v>
      </c>
      <c r="J43" s="29">
        <f t="shared" si="9"/>
        <v>182</v>
      </c>
    </row>
    <row r="44">
      <c r="A44">
        <v>42.0</v>
      </c>
      <c r="B44" s="28">
        <f t="shared" si="1"/>
        <v>73</v>
      </c>
      <c r="C44" s="28">
        <f t="shared" si="2"/>
        <v>37</v>
      </c>
      <c r="D44" s="28">
        <f t="shared" si="3"/>
        <v>18</v>
      </c>
      <c r="E44" s="28">
        <f t="shared" si="4"/>
        <v>7</v>
      </c>
      <c r="F44" s="28">
        <f t="shared" si="5"/>
        <v>1</v>
      </c>
      <c r="G44" s="29">
        <f t="shared" si="6"/>
        <v>123</v>
      </c>
      <c r="H44" s="29">
        <f t="shared" si="7"/>
        <v>143</v>
      </c>
      <c r="I44" s="29">
        <f t="shared" si="8"/>
        <v>163</v>
      </c>
      <c r="J44" s="29">
        <f t="shared" si="9"/>
        <v>183</v>
      </c>
    </row>
    <row r="45">
      <c r="A45">
        <v>43.0</v>
      </c>
      <c r="B45" s="28">
        <f t="shared" si="1"/>
        <v>74</v>
      </c>
      <c r="C45" s="28">
        <f t="shared" si="2"/>
        <v>37</v>
      </c>
      <c r="D45" s="28">
        <f t="shared" si="3"/>
        <v>19</v>
      </c>
      <c r="E45" s="28">
        <f t="shared" si="4"/>
        <v>7</v>
      </c>
      <c r="F45" s="28">
        <f t="shared" si="5"/>
        <v>1</v>
      </c>
      <c r="G45" s="29">
        <f t="shared" si="6"/>
        <v>124</v>
      </c>
      <c r="H45" s="29">
        <f t="shared" si="7"/>
        <v>144</v>
      </c>
      <c r="I45" s="29">
        <f t="shared" si="8"/>
        <v>164</v>
      </c>
      <c r="J45" s="29">
        <f t="shared" si="9"/>
        <v>184</v>
      </c>
    </row>
    <row r="46">
      <c r="A46">
        <v>45.0</v>
      </c>
      <c r="B46" s="28">
        <f t="shared" si="1"/>
        <v>75</v>
      </c>
      <c r="C46" s="28">
        <f t="shared" si="2"/>
        <v>38</v>
      </c>
      <c r="D46" s="28">
        <f t="shared" si="3"/>
        <v>19</v>
      </c>
      <c r="E46" s="28">
        <f t="shared" si="4"/>
        <v>8</v>
      </c>
      <c r="F46" s="28">
        <f t="shared" si="5"/>
        <v>1</v>
      </c>
      <c r="G46" s="29">
        <f t="shared" si="6"/>
        <v>125</v>
      </c>
      <c r="H46" s="29">
        <f t="shared" si="7"/>
        <v>145</v>
      </c>
      <c r="I46" s="29">
        <f t="shared" si="8"/>
        <v>165</v>
      </c>
      <c r="J46" s="29">
        <f t="shared" si="9"/>
        <v>185</v>
      </c>
    </row>
    <row r="47">
      <c r="A47">
        <v>46.0</v>
      </c>
      <c r="B47" s="28">
        <f t="shared" si="1"/>
        <v>76</v>
      </c>
      <c r="C47" s="28">
        <f t="shared" si="2"/>
        <v>38</v>
      </c>
      <c r="D47" s="28">
        <f t="shared" si="3"/>
        <v>19</v>
      </c>
      <c r="E47" s="28">
        <f t="shared" si="4"/>
        <v>8</v>
      </c>
      <c r="F47" s="28">
        <f t="shared" si="5"/>
        <v>1</v>
      </c>
      <c r="G47" s="29">
        <f t="shared" si="6"/>
        <v>126</v>
      </c>
      <c r="H47" s="29">
        <f t="shared" si="7"/>
        <v>146</v>
      </c>
      <c r="I47" s="29">
        <f t="shared" si="8"/>
        <v>166</v>
      </c>
      <c r="J47" s="29">
        <f t="shared" si="9"/>
        <v>186</v>
      </c>
    </row>
    <row r="48">
      <c r="A48">
        <v>47.0</v>
      </c>
      <c r="B48" s="28">
        <f t="shared" si="1"/>
        <v>77</v>
      </c>
      <c r="C48" s="28">
        <f t="shared" si="2"/>
        <v>39</v>
      </c>
      <c r="D48" s="28">
        <f t="shared" si="3"/>
        <v>19</v>
      </c>
      <c r="E48" s="28">
        <f t="shared" si="4"/>
        <v>8</v>
      </c>
      <c r="F48" s="28">
        <f t="shared" si="5"/>
        <v>1</v>
      </c>
      <c r="G48" s="29">
        <f t="shared" si="6"/>
        <v>127</v>
      </c>
      <c r="H48" s="29">
        <f t="shared" si="7"/>
        <v>147</v>
      </c>
      <c r="I48" s="29">
        <f t="shared" si="8"/>
        <v>167</v>
      </c>
      <c r="J48" s="29">
        <f t="shared" si="9"/>
        <v>187</v>
      </c>
    </row>
    <row r="49">
      <c r="A49">
        <v>49.0</v>
      </c>
      <c r="B49" s="28">
        <f t="shared" si="1"/>
        <v>78</v>
      </c>
      <c r="C49" s="28">
        <f t="shared" si="2"/>
        <v>39</v>
      </c>
      <c r="D49" s="28">
        <f t="shared" si="3"/>
        <v>20</v>
      </c>
      <c r="E49" s="28">
        <f t="shared" si="4"/>
        <v>8</v>
      </c>
      <c r="F49" s="28">
        <f t="shared" si="5"/>
        <v>1</v>
      </c>
      <c r="G49" s="29">
        <f t="shared" si="6"/>
        <v>128</v>
      </c>
      <c r="H49" s="29">
        <f t="shared" si="7"/>
        <v>148</v>
      </c>
      <c r="I49" s="29">
        <f t="shared" si="8"/>
        <v>168</v>
      </c>
      <c r="J49" s="29">
        <f t="shared" si="9"/>
        <v>188</v>
      </c>
    </row>
    <row r="50">
      <c r="A50">
        <v>50.0</v>
      </c>
      <c r="B50" s="28">
        <f t="shared" si="1"/>
        <v>79</v>
      </c>
      <c r="C50" s="28">
        <f t="shared" si="2"/>
        <v>40</v>
      </c>
      <c r="D50" s="28">
        <f t="shared" si="3"/>
        <v>20</v>
      </c>
      <c r="E50" s="28">
        <f t="shared" si="4"/>
        <v>8</v>
      </c>
      <c r="F50" s="28">
        <f t="shared" si="5"/>
        <v>1</v>
      </c>
      <c r="G50" s="29">
        <f t="shared" si="6"/>
        <v>129</v>
      </c>
      <c r="H50" s="29">
        <f t="shared" si="7"/>
        <v>149</v>
      </c>
      <c r="I50" s="29">
        <f t="shared" si="8"/>
        <v>169</v>
      </c>
      <c r="J50" s="29">
        <f t="shared" si="9"/>
        <v>189</v>
      </c>
    </row>
    <row r="51">
      <c r="A51">
        <v>52.0</v>
      </c>
      <c r="B51" s="28">
        <f t="shared" si="1"/>
        <v>80</v>
      </c>
      <c r="C51" s="28">
        <f t="shared" si="2"/>
        <v>40</v>
      </c>
      <c r="D51" s="28">
        <f t="shared" si="3"/>
        <v>20</v>
      </c>
      <c r="E51" s="28">
        <f t="shared" si="4"/>
        <v>8</v>
      </c>
      <c r="F51" s="28">
        <f t="shared" si="5"/>
        <v>1</v>
      </c>
      <c r="G51" s="29">
        <f t="shared" si="6"/>
        <v>130</v>
      </c>
      <c r="H51" s="29">
        <f t="shared" si="7"/>
        <v>150</v>
      </c>
      <c r="I51" s="29">
        <f t="shared" si="8"/>
        <v>170</v>
      </c>
      <c r="J51" s="29">
        <f t="shared" si="9"/>
        <v>190</v>
      </c>
    </row>
    <row r="52">
      <c r="A52">
        <v>53.0</v>
      </c>
      <c r="B52" s="28">
        <f t="shared" si="1"/>
        <v>81</v>
      </c>
      <c r="C52" s="28">
        <f t="shared" si="2"/>
        <v>41</v>
      </c>
      <c r="D52" s="28">
        <f t="shared" si="3"/>
        <v>20</v>
      </c>
      <c r="E52" s="28">
        <f t="shared" si="4"/>
        <v>8</v>
      </c>
      <c r="F52" s="28">
        <f t="shared" si="5"/>
        <v>1</v>
      </c>
      <c r="G52" s="29">
        <f t="shared" si="6"/>
        <v>131</v>
      </c>
      <c r="H52" s="29">
        <f t="shared" si="7"/>
        <v>151</v>
      </c>
      <c r="I52" s="29">
        <f t="shared" si="8"/>
        <v>171</v>
      </c>
      <c r="J52" s="29">
        <f t="shared" si="9"/>
        <v>191</v>
      </c>
    </row>
    <row r="53">
      <c r="A53">
        <v>55.0</v>
      </c>
      <c r="B53" s="28">
        <f t="shared" si="1"/>
        <v>82</v>
      </c>
      <c r="C53" s="28">
        <f t="shared" si="2"/>
        <v>41</v>
      </c>
      <c r="D53" s="28">
        <f t="shared" si="3"/>
        <v>21</v>
      </c>
      <c r="E53" s="28">
        <f t="shared" si="4"/>
        <v>8</v>
      </c>
      <c r="F53" s="28">
        <f t="shared" si="5"/>
        <v>1</v>
      </c>
      <c r="G53" s="29">
        <f t="shared" si="6"/>
        <v>132</v>
      </c>
      <c r="H53" s="29">
        <f t="shared" si="7"/>
        <v>152</v>
      </c>
      <c r="I53" s="29">
        <f t="shared" si="8"/>
        <v>172</v>
      </c>
      <c r="J53" s="29">
        <f t="shared" si="9"/>
        <v>192</v>
      </c>
    </row>
    <row r="54">
      <c r="A54">
        <v>57.0</v>
      </c>
      <c r="B54" s="28">
        <f t="shared" si="1"/>
        <v>83</v>
      </c>
      <c r="C54" s="28">
        <f t="shared" si="2"/>
        <v>42</v>
      </c>
      <c r="D54" s="28">
        <f t="shared" si="3"/>
        <v>21</v>
      </c>
      <c r="E54" s="28">
        <f t="shared" si="4"/>
        <v>8</v>
      </c>
      <c r="F54" s="28">
        <f t="shared" si="5"/>
        <v>1</v>
      </c>
      <c r="G54" s="29">
        <f t="shared" si="6"/>
        <v>133</v>
      </c>
      <c r="H54" s="29">
        <f t="shared" si="7"/>
        <v>153</v>
      </c>
      <c r="I54" s="29">
        <f t="shared" si="8"/>
        <v>173</v>
      </c>
      <c r="J54" s="29">
        <f t="shared" si="9"/>
        <v>193</v>
      </c>
    </row>
    <row r="55">
      <c r="A55">
        <v>59.0</v>
      </c>
      <c r="B55" s="28">
        <f t="shared" si="1"/>
        <v>84</v>
      </c>
      <c r="C55" s="28">
        <f t="shared" si="2"/>
        <v>42</v>
      </c>
      <c r="D55" s="28">
        <f t="shared" si="3"/>
        <v>21</v>
      </c>
      <c r="E55" s="28">
        <f t="shared" si="4"/>
        <v>8</v>
      </c>
      <c r="F55" s="28">
        <f t="shared" si="5"/>
        <v>1</v>
      </c>
      <c r="G55" s="29">
        <f t="shared" si="6"/>
        <v>134</v>
      </c>
      <c r="H55" s="29">
        <f t="shared" si="7"/>
        <v>154</v>
      </c>
      <c r="I55" s="29">
        <f t="shared" si="8"/>
        <v>174</v>
      </c>
      <c r="J55" s="29">
        <f t="shared" si="9"/>
        <v>194</v>
      </c>
    </row>
    <row r="56">
      <c r="A56">
        <v>61.0</v>
      </c>
      <c r="B56" s="28">
        <f t="shared" si="1"/>
        <v>85</v>
      </c>
      <c r="C56" s="28">
        <f t="shared" si="2"/>
        <v>43</v>
      </c>
      <c r="D56" s="28">
        <f t="shared" si="3"/>
        <v>21</v>
      </c>
      <c r="E56" s="28">
        <f t="shared" si="4"/>
        <v>9</v>
      </c>
      <c r="F56" s="28">
        <f t="shared" si="5"/>
        <v>1</v>
      </c>
      <c r="G56" s="29">
        <f t="shared" si="6"/>
        <v>135</v>
      </c>
      <c r="H56" s="29">
        <f t="shared" si="7"/>
        <v>155</v>
      </c>
      <c r="I56" s="29">
        <f t="shared" si="8"/>
        <v>175</v>
      </c>
      <c r="J56" s="29">
        <f t="shared" si="9"/>
        <v>195</v>
      </c>
    </row>
    <row r="57">
      <c r="A57">
        <v>63.0</v>
      </c>
      <c r="B57" s="28">
        <f t="shared" si="1"/>
        <v>86</v>
      </c>
      <c r="C57" s="28">
        <f t="shared" si="2"/>
        <v>43</v>
      </c>
      <c r="D57" s="28">
        <f t="shared" si="3"/>
        <v>22</v>
      </c>
      <c r="E57" s="28">
        <f t="shared" si="4"/>
        <v>9</v>
      </c>
      <c r="F57" s="28">
        <f t="shared" si="5"/>
        <v>1</v>
      </c>
      <c r="G57" s="29">
        <f t="shared" si="6"/>
        <v>136</v>
      </c>
      <c r="H57" s="29">
        <f t="shared" si="7"/>
        <v>156</v>
      </c>
      <c r="I57" s="29">
        <f t="shared" si="8"/>
        <v>176</v>
      </c>
      <c r="J57" s="29">
        <f t="shared" si="9"/>
        <v>196</v>
      </c>
    </row>
    <row r="58">
      <c r="A58">
        <v>65.0</v>
      </c>
      <c r="B58" s="28">
        <f t="shared" si="1"/>
        <v>87</v>
      </c>
      <c r="C58" s="28">
        <f t="shared" si="2"/>
        <v>44</v>
      </c>
      <c r="D58" s="28">
        <f t="shared" si="3"/>
        <v>22</v>
      </c>
      <c r="E58" s="28">
        <f t="shared" si="4"/>
        <v>9</v>
      </c>
      <c r="F58" s="28">
        <f t="shared" si="5"/>
        <v>1</v>
      </c>
      <c r="G58" s="29">
        <f t="shared" si="6"/>
        <v>137</v>
      </c>
      <c r="H58" s="29">
        <f t="shared" si="7"/>
        <v>157</v>
      </c>
      <c r="I58" s="29">
        <f t="shared" si="8"/>
        <v>177</v>
      </c>
      <c r="J58" s="29">
        <f t="shared" si="9"/>
        <v>197</v>
      </c>
    </row>
    <row r="59">
      <c r="A59">
        <v>67.0</v>
      </c>
      <c r="B59" s="28">
        <f t="shared" si="1"/>
        <v>88</v>
      </c>
      <c r="C59" s="28">
        <f t="shared" si="2"/>
        <v>44</v>
      </c>
      <c r="D59" s="28">
        <f t="shared" si="3"/>
        <v>22</v>
      </c>
      <c r="E59" s="28">
        <f t="shared" si="4"/>
        <v>9</v>
      </c>
      <c r="F59" s="28">
        <f t="shared" si="5"/>
        <v>1</v>
      </c>
      <c r="G59" s="29">
        <f t="shared" si="6"/>
        <v>138</v>
      </c>
      <c r="H59" s="29">
        <f t="shared" si="7"/>
        <v>158</v>
      </c>
      <c r="I59" s="29">
        <f t="shared" si="8"/>
        <v>178</v>
      </c>
      <c r="J59" s="29">
        <f t="shared" si="9"/>
        <v>198</v>
      </c>
    </row>
    <row r="60">
      <c r="A60">
        <v>70.0</v>
      </c>
      <c r="B60" s="28">
        <f t="shared" si="1"/>
        <v>89</v>
      </c>
      <c r="C60" s="28">
        <f t="shared" si="2"/>
        <v>45</v>
      </c>
      <c r="D60" s="28">
        <f t="shared" si="3"/>
        <v>22</v>
      </c>
      <c r="E60" s="28">
        <f t="shared" si="4"/>
        <v>9</v>
      </c>
      <c r="F60" s="28">
        <f t="shared" si="5"/>
        <v>1</v>
      </c>
      <c r="G60" s="29">
        <f t="shared" si="6"/>
        <v>139</v>
      </c>
      <c r="H60" s="29">
        <f t="shared" si="7"/>
        <v>159</v>
      </c>
      <c r="I60" s="29">
        <f t="shared" si="8"/>
        <v>179</v>
      </c>
      <c r="J60" s="29">
        <f t="shared" si="9"/>
        <v>199</v>
      </c>
    </row>
    <row r="61">
      <c r="A61">
        <v>72.0</v>
      </c>
      <c r="B61" s="28">
        <f t="shared" si="1"/>
        <v>90</v>
      </c>
      <c r="C61" s="28">
        <f t="shared" si="2"/>
        <v>45</v>
      </c>
      <c r="D61" s="28">
        <f t="shared" si="3"/>
        <v>23</v>
      </c>
      <c r="E61" s="28">
        <f t="shared" si="4"/>
        <v>9</v>
      </c>
      <c r="F61" s="28">
        <f t="shared" si="5"/>
        <v>1</v>
      </c>
      <c r="G61" s="29">
        <f t="shared" si="6"/>
        <v>140</v>
      </c>
      <c r="H61" s="29">
        <f t="shared" si="7"/>
        <v>160</v>
      </c>
      <c r="I61" s="29">
        <f t="shared" si="8"/>
        <v>180</v>
      </c>
      <c r="J61" s="29">
        <f t="shared" si="9"/>
        <v>200</v>
      </c>
    </row>
    <row r="62">
      <c r="A62">
        <v>75.0</v>
      </c>
      <c r="B62" s="28">
        <f t="shared" si="1"/>
        <v>91</v>
      </c>
      <c r="C62" s="28">
        <f t="shared" si="2"/>
        <v>46</v>
      </c>
      <c r="D62" s="28">
        <f t="shared" si="3"/>
        <v>23</v>
      </c>
      <c r="E62" s="28">
        <f t="shared" si="4"/>
        <v>9</v>
      </c>
      <c r="F62" s="28">
        <f t="shared" si="5"/>
        <v>1</v>
      </c>
      <c r="G62" s="29">
        <f t="shared" si="6"/>
        <v>141</v>
      </c>
      <c r="H62" s="29">
        <f t="shared" si="7"/>
        <v>161</v>
      </c>
      <c r="I62" s="29">
        <f t="shared" si="8"/>
        <v>181</v>
      </c>
      <c r="J62" s="29">
        <f t="shared" si="9"/>
        <v>201</v>
      </c>
    </row>
    <row r="63">
      <c r="A63">
        <v>78.0</v>
      </c>
      <c r="B63" s="28">
        <f t="shared" si="1"/>
        <v>92</v>
      </c>
      <c r="C63" s="28">
        <f t="shared" si="2"/>
        <v>46</v>
      </c>
      <c r="D63" s="28">
        <f t="shared" si="3"/>
        <v>23</v>
      </c>
      <c r="E63" s="28">
        <f t="shared" si="4"/>
        <v>9</v>
      </c>
      <c r="F63" s="28">
        <f t="shared" si="5"/>
        <v>1</v>
      </c>
      <c r="G63" s="29">
        <f t="shared" si="6"/>
        <v>142</v>
      </c>
      <c r="H63" s="29">
        <f t="shared" si="7"/>
        <v>162</v>
      </c>
      <c r="I63" s="29">
        <f t="shared" si="8"/>
        <v>182</v>
      </c>
      <c r="J63" s="29">
        <f t="shared" si="9"/>
        <v>202</v>
      </c>
    </row>
    <row r="64">
      <c r="A64">
        <v>81.0</v>
      </c>
      <c r="B64" s="28">
        <f t="shared" si="1"/>
        <v>93</v>
      </c>
      <c r="C64" s="28">
        <f t="shared" si="2"/>
        <v>47</v>
      </c>
      <c r="D64" s="28">
        <f t="shared" si="3"/>
        <v>23</v>
      </c>
      <c r="E64" s="28">
        <f t="shared" si="4"/>
        <v>9</v>
      </c>
      <c r="F64" s="28">
        <f t="shared" si="5"/>
        <v>1</v>
      </c>
      <c r="G64" s="29">
        <f t="shared" si="6"/>
        <v>143</v>
      </c>
      <c r="H64" s="29">
        <f t="shared" si="7"/>
        <v>163</v>
      </c>
      <c r="I64" s="29">
        <f t="shared" si="8"/>
        <v>183</v>
      </c>
      <c r="J64" s="29">
        <f t="shared" si="9"/>
        <v>203</v>
      </c>
    </row>
    <row r="65">
      <c r="A65">
        <v>85.0</v>
      </c>
      <c r="B65" s="28">
        <f t="shared" si="1"/>
        <v>94</v>
      </c>
      <c r="C65" s="28">
        <f t="shared" si="2"/>
        <v>47</v>
      </c>
      <c r="D65" s="28">
        <f t="shared" si="3"/>
        <v>24</v>
      </c>
      <c r="E65" s="28">
        <f t="shared" si="4"/>
        <v>9</v>
      </c>
      <c r="F65" s="28">
        <f t="shared" si="5"/>
        <v>1</v>
      </c>
      <c r="G65" s="29">
        <f t="shared" si="6"/>
        <v>144</v>
      </c>
      <c r="H65" s="29">
        <f t="shared" si="7"/>
        <v>164</v>
      </c>
      <c r="I65" s="29">
        <f t="shared" si="8"/>
        <v>184</v>
      </c>
      <c r="J65" s="29">
        <f t="shared" si="9"/>
        <v>204</v>
      </c>
    </row>
    <row r="66">
      <c r="A66">
        <v>88.0</v>
      </c>
      <c r="B66" s="28">
        <f t="shared" si="1"/>
        <v>95</v>
      </c>
      <c r="C66" s="28">
        <f t="shared" si="2"/>
        <v>48</v>
      </c>
      <c r="D66" s="28">
        <f t="shared" si="3"/>
        <v>24</v>
      </c>
      <c r="E66" s="28">
        <f t="shared" si="4"/>
        <v>10</v>
      </c>
      <c r="F66" s="28">
        <f t="shared" si="5"/>
        <v>1</v>
      </c>
      <c r="G66" s="29">
        <f t="shared" si="6"/>
        <v>145</v>
      </c>
      <c r="H66" s="29">
        <f t="shared" si="7"/>
        <v>165</v>
      </c>
      <c r="I66" s="29">
        <f t="shared" si="8"/>
        <v>185</v>
      </c>
      <c r="J66" s="29">
        <f t="shared" si="9"/>
        <v>205</v>
      </c>
    </row>
    <row r="67">
      <c r="A67">
        <v>92.0</v>
      </c>
      <c r="B67" s="28">
        <f t="shared" si="1"/>
        <v>96</v>
      </c>
      <c r="C67" s="28">
        <f t="shared" si="2"/>
        <v>48</v>
      </c>
      <c r="D67" s="28">
        <f t="shared" si="3"/>
        <v>24</v>
      </c>
      <c r="E67" s="28">
        <f t="shared" si="4"/>
        <v>10</v>
      </c>
      <c r="F67" s="28">
        <f t="shared" si="5"/>
        <v>1</v>
      </c>
      <c r="G67" s="29">
        <f t="shared" si="6"/>
        <v>146</v>
      </c>
      <c r="H67" s="29">
        <f t="shared" si="7"/>
        <v>166</v>
      </c>
      <c r="I67" s="29">
        <f t="shared" si="8"/>
        <v>186</v>
      </c>
      <c r="J67" s="29">
        <f t="shared" si="9"/>
        <v>206</v>
      </c>
    </row>
    <row r="68">
      <c r="A68">
        <v>96.0</v>
      </c>
      <c r="B68" s="28">
        <f t="shared" si="1"/>
        <v>97</v>
      </c>
      <c r="C68" s="28">
        <f t="shared" si="2"/>
        <v>49</v>
      </c>
      <c r="D68" s="28">
        <f t="shared" si="3"/>
        <v>24</v>
      </c>
      <c r="E68" s="28">
        <f t="shared" si="4"/>
        <v>10</v>
      </c>
      <c r="F68" s="28">
        <f t="shared" si="5"/>
        <v>1</v>
      </c>
      <c r="G68" s="29">
        <f t="shared" si="6"/>
        <v>147</v>
      </c>
      <c r="H68" s="29">
        <f t="shared" si="7"/>
        <v>167</v>
      </c>
      <c r="I68" s="29">
        <f t="shared" si="8"/>
        <v>187</v>
      </c>
      <c r="J68" s="29">
        <f t="shared" si="9"/>
        <v>207</v>
      </c>
    </row>
    <row r="69">
      <c r="A69">
        <v>101.0</v>
      </c>
      <c r="B69" s="28">
        <f t="shared" si="1"/>
        <v>98</v>
      </c>
      <c r="C69" s="28">
        <f t="shared" si="2"/>
        <v>49</v>
      </c>
      <c r="D69" s="28">
        <f t="shared" si="3"/>
        <v>25</v>
      </c>
      <c r="E69" s="28">
        <f t="shared" si="4"/>
        <v>10</v>
      </c>
      <c r="F69" s="28">
        <f t="shared" si="5"/>
        <v>1</v>
      </c>
      <c r="G69" s="29">
        <f t="shared" si="6"/>
        <v>148</v>
      </c>
      <c r="H69" s="29">
        <f t="shared" si="7"/>
        <v>168</v>
      </c>
      <c r="I69" s="29">
        <f t="shared" si="8"/>
        <v>188</v>
      </c>
      <c r="J69" s="29">
        <f t="shared" si="9"/>
        <v>208</v>
      </c>
    </row>
    <row r="70">
      <c r="A70">
        <v>106.0</v>
      </c>
      <c r="B70" s="28">
        <f t="shared" si="1"/>
        <v>99</v>
      </c>
      <c r="C70" s="28">
        <f t="shared" si="2"/>
        <v>50</v>
      </c>
      <c r="D70" s="28">
        <f t="shared" si="3"/>
        <v>25</v>
      </c>
      <c r="E70" s="28">
        <f t="shared" si="4"/>
        <v>10</v>
      </c>
      <c r="F70" s="28">
        <f t="shared" si="5"/>
        <v>1</v>
      </c>
      <c r="G70" s="29">
        <f t="shared" si="6"/>
        <v>149</v>
      </c>
      <c r="H70" s="29">
        <f t="shared" si="7"/>
        <v>169</v>
      </c>
      <c r="I70" s="29">
        <f t="shared" si="8"/>
        <v>189</v>
      </c>
      <c r="J70" s="29">
        <f t="shared" si="9"/>
        <v>209</v>
      </c>
    </row>
    <row r="71">
      <c r="A71">
        <v>112.0</v>
      </c>
      <c r="B71" s="28">
        <f t="shared" si="1"/>
        <v>100</v>
      </c>
      <c r="C71" s="28">
        <f t="shared" si="2"/>
        <v>50</v>
      </c>
      <c r="D71" s="28">
        <f t="shared" si="3"/>
        <v>25</v>
      </c>
      <c r="E71" s="28">
        <f t="shared" si="4"/>
        <v>10</v>
      </c>
      <c r="F71" s="28">
        <f t="shared" si="5"/>
        <v>1</v>
      </c>
      <c r="G71" s="29">
        <f t="shared" si="6"/>
        <v>150</v>
      </c>
      <c r="H71" s="29">
        <f t="shared" si="7"/>
        <v>170</v>
      </c>
      <c r="I71" s="29">
        <f t="shared" si="8"/>
        <v>190</v>
      </c>
      <c r="J71" s="29">
        <f t="shared" si="9"/>
        <v>210</v>
      </c>
    </row>
    <row r="72">
      <c r="A72">
        <v>118.0</v>
      </c>
      <c r="B72" s="28">
        <f t="shared" si="1"/>
        <v>101</v>
      </c>
      <c r="C72" s="28">
        <f t="shared" si="2"/>
        <v>51</v>
      </c>
      <c r="D72" s="28">
        <f t="shared" si="3"/>
        <v>25</v>
      </c>
      <c r="E72" s="28">
        <f t="shared" si="4"/>
        <v>10</v>
      </c>
      <c r="F72" s="28">
        <f t="shared" si="5"/>
        <v>1</v>
      </c>
      <c r="G72" s="29">
        <f t="shared" si="6"/>
        <v>151</v>
      </c>
      <c r="H72" s="29">
        <f t="shared" si="7"/>
        <v>171</v>
      </c>
      <c r="I72" s="29">
        <f t="shared" si="8"/>
        <v>191</v>
      </c>
      <c r="J72" s="29">
        <f t="shared" si="9"/>
        <v>211</v>
      </c>
    </row>
    <row r="73">
      <c r="A73">
        <v>125.0</v>
      </c>
      <c r="B73" s="28">
        <f t="shared" si="1"/>
        <v>102</v>
      </c>
      <c r="C73" s="28">
        <f t="shared" si="2"/>
        <v>51</v>
      </c>
      <c r="D73" s="28">
        <f t="shared" si="3"/>
        <v>26</v>
      </c>
      <c r="E73" s="28">
        <f t="shared" si="4"/>
        <v>10</v>
      </c>
      <c r="F73" s="28">
        <f t="shared" si="5"/>
        <v>1</v>
      </c>
      <c r="G73" s="29">
        <f t="shared" si="6"/>
        <v>152</v>
      </c>
      <c r="H73" s="29">
        <f t="shared" si="7"/>
        <v>172</v>
      </c>
      <c r="I73" s="29">
        <f t="shared" si="8"/>
        <v>192</v>
      </c>
      <c r="J73" s="29">
        <f t="shared" si="9"/>
        <v>212</v>
      </c>
    </row>
    <row r="74">
      <c r="A74">
        <v>132.0</v>
      </c>
      <c r="B74" s="28">
        <f t="shared" si="1"/>
        <v>103</v>
      </c>
      <c r="C74" s="28">
        <f t="shared" si="2"/>
        <v>52</v>
      </c>
      <c r="D74" s="28">
        <f t="shared" si="3"/>
        <v>26</v>
      </c>
      <c r="E74" s="28">
        <f t="shared" si="4"/>
        <v>10</v>
      </c>
      <c r="F74" s="28">
        <f t="shared" si="5"/>
        <v>1</v>
      </c>
      <c r="G74" s="29">
        <f t="shared" si="6"/>
        <v>153</v>
      </c>
      <c r="H74" s="29">
        <f t="shared" si="7"/>
        <v>173</v>
      </c>
      <c r="I74" s="29">
        <f t="shared" si="8"/>
        <v>193</v>
      </c>
      <c r="J74" s="29">
        <f t="shared" si="9"/>
        <v>213</v>
      </c>
    </row>
  </sheetData>
  <drawing r:id="rId1"/>
</worksheet>
</file>